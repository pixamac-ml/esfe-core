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r Mamadou SANOGO\Desktop\RAE UFHOB-MALI\"/>
    </mc:Choice>
  </mc:AlternateContent>
  <xr:revisionPtr revIDLastSave="0" documentId="8_{599A0B06-0B4B-41F9-8AB5-0ABC7E42B3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" sheetId="3" r:id="rId1"/>
    <sheet name="SII" sheetId="23" r:id="rId2"/>
    <sheet name="SIII" sheetId="24" r:id="rId3"/>
    <sheet name="SIV" sheetId="25" r:id="rId4"/>
    <sheet name="SI (2)" sheetId="26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26" l="1"/>
  <c r="D25" i="26"/>
  <c r="E23" i="26"/>
  <c r="D23" i="26"/>
  <c r="E20" i="26"/>
  <c r="D20" i="26"/>
  <c r="E17" i="26"/>
  <c r="D17" i="26"/>
  <c r="E15" i="26"/>
  <c r="D15" i="26"/>
  <c r="E13" i="26"/>
  <c r="D13" i="26"/>
  <c r="K14" i="25"/>
  <c r="K15" i="25"/>
  <c r="K16" i="25"/>
  <c r="K17" i="25"/>
  <c r="K18" i="25"/>
  <c r="K19" i="25"/>
  <c r="K20" i="25"/>
  <c r="K21" i="25"/>
  <c r="K22" i="25"/>
  <c r="K23" i="25"/>
  <c r="K24" i="25"/>
  <c r="K13" i="25"/>
  <c r="J20" i="25"/>
  <c r="J17" i="25"/>
  <c r="J18" i="25"/>
  <c r="J14" i="25"/>
  <c r="K14" i="24"/>
  <c r="K15" i="24"/>
  <c r="K16" i="24"/>
  <c r="K17" i="24"/>
  <c r="K18" i="24"/>
  <c r="K19" i="24"/>
  <c r="K20" i="24"/>
  <c r="K21" i="24"/>
  <c r="K22" i="24"/>
  <c r="K23" i="24"/>
  <c r="K24" i="24"/>
  <c r="K13" i="24"/>
  <c r="J20" i="24"/>
  <c r="J21" i="24"/>
  <c r="J22" i="24"/>
  <c r="J23" i="24"/>
  <c r="J24" i="24"/>
  <c r="J18" i="24"/>
  <c r="J17" i="24"/>
  <c r="J14" i="24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13" i="3"/>
  <c r="J21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14" i="23"/>
  <c r="K15" i="23"/>
  <c r="K13" i="23"/>
  <c r="J18" i="23"/>
  <c r="J17" i="23"/>
  <c r="J14" i="23"/>
  <c r="J21" i="3"/>
  <c r="E13" i="23"/>
  <c r="L23" i="24" l="1"/>
  <c r="J24" i="25"/>
  <c r="J23" i="25"/>
  <c r="E23" i="25"/>
  <c r="D23" i="25"/>
  <c r="J22" i="25"/>
  <c r="J21" i="25"/>
  <c r="E21" i="25"/>
  <c r="D21" i="25"/>
  <c r="J19" i="25"/>
  <c r="E19" i="25"/>
  <c r="D19" i="25"/>
  <c r="J16" i="25"/>
  <c r="E16" i="25"/>
  <c r="D16" i="25"/>
  <c r="J15" i="25"/>
  <c r="J13" i="25"/>
  <c r="E13" i="25"/>
  <c r="D13" i="25"/>
  <c r="E13" i="24"/>
  <c r="E19" i="24"/>
  <c r="D19" i="24"/>
  <c r="E16" i="24"/>
  <c r="D16" i="24"/>
  <c r="E21" i="24"/>
  <c r="D21" i="24"/>
  <c r="J19" i="24"/>
  <c r="J16" i="24"/>
  <c r="J15" i="24"/>
  <c r="J13" i="24"/>
  <c r="D13" i="24"/>
  <c r="E24" i="23"/>
  <c r="D24" i="23"/>
  <c r="E20" i="23"/>
  <c r="D20" i="23"/>
  <c r="E16" i="23"/>
  <c r="D16" i="23"/>
  <c r="D13" i="23"/>
  <c r="J29" i="23"/>
  <c r="J28" i="23"/>
  <c r="E28" i="23"/>
  <c r="D28" i="23"/>
  <c r="J27" i="23"/>
  <c r="J26" i="23"/>
  <c r="E26" i="23"/>
  <c r="D26" i="23"/>
  <c r="J25" i="23"/>
  <c r="J24" i="23"/>
  <c r="L24" i="23" s="1"/>
  <c r="J23" i="23"/>
  <c r="J22" i="23"/>
  <c r="J20" i="23"/>
  <c r="J19" i="23"/>
  <c r="J16" i="23"/>
  <c r="J15" i="23"/>
  <c r="J13" i="23"/>
  <c r="E20" i="3"/>
  <c r="D20" i="3"/>
  <c r="J24" i="3"/>
  <c r="J23" i="3"/>
  <c r="E23" i="3"/>
  <c r="D23" i="3"/>
  <c r="D13" i="3"/>
  <c r="L19" i="24" l="1"/>
  <c r="N19" i="24" s="1"/>
  <c r="L13" i="24"/>
  <c r="N13" i="24"/>
  <c r="N23" i="24"/>
  <c r="M23" i="24"/>
  <c r="L16" i="24"/>
  <c r="N16" i="24" s="1"/>
  <c r="L21" i="24"/>
  <c r="N21" i="24" s="1"/>
  <c r="L13" i="23"/>
  <c r="N13" i="23" s="1"/>
  <c r="N24" i="23"/>
  <c r="L26" i="23"/>
  <c r="N26" i="23" s="1"/>
  <c r="L28" i="23"/>
  <c r="N28" i="23" s="1"/>
  <c r="L20" i="23"/>
  <c r="N20" i="23" s="1"/>
  <c r="L23" i="25"/>
  <c r="N23" i="25" s="1"/>
  <c r="L19" i="25"/>
  <c r="N19" i="25" s="1"/>
  <c r="L21" i="25"/>
  <c r="N21" i="25" s="1"/>
  <c r="L16" i="25"/>
  <c r="N16" i="25" s="1"/>
  <c r="L13" i="25"/>
  <c r="N13" i="25" s="1"/>
  <c r="M19" i="24"/>
  <c r="M13" i="24"/>
  <c r="L23" i="3"/>
  <c r="N23" i="3" s="1"/>
  <c r="M24" i="23"/>
  <c r="L16" i="23"/>
  <c r="N16" i="23" s="1"/>
  <c r="M21" i="24" l="1"/>
  <c r="M16" i="24"/>
  <c r="O13" i="24" s="1"/>
  <c r="P13" i="24" s="1"/>
  <c r="M13" i="23"/>
  <c r="M26" i="23"/>
  <c r="M16" i="23"/>
  <c r="M20" i="23"/>
  <c r="M28" i="23"/>
  <c r="M23" i="3"/>
  <c r="M13" i="25"/>
  <c r="M16" i="25"/>
  <c r="M19" i="25"/>
  <c r="M23" i="25"/>
  <c r="M21" i="25"/>
  <c r="J26" i="3"/>
  <c r="J25" i="3"/>
  <c r="E25" i="3"/>
  <c r="D25" i="3"/>
  <c r="J22" i="3"/>
  <c r="J20" i="3"/>
  <c r="J19" i="3"/>
  <c r="J18" i="3"/>
  <c r="J17" i="3"/>
  <c r="E17" i="3"/>
  <c r="D17" i="3"/>
  <c r="J16" i="3"/>
  <c r="J15" i="3"/>
  <c r="E15" i="3"/>
  <c r="D15" i="3"/>
  <c r="J14" i="3"/>
  <c r="J13" i="3"/>
  <c r="E13" i="3"/>
  <c r="O13" i="23" l="1"/>
  <c r="P13" i="23" s="1"/>
  <c r="L20" i="3"/>
  <c r="N20" i="3" s="1"/>
  <c r="L25" i="3"/>
  <c r="N25" i="3" s="1"/>
  <c r="O13" i="25"/>
  <c r="P13" i="25" s="1"/>
  <c r="L15" i="3"/>
  <c r="N15" i="3" s="1"/>
  <c r="L13" i="3"/>
  <c r="N13" i="3" s="1"/>
  <c r="L17" i="3"/>
  <c r="N17" i="3" s="1"/>
  <c r="M20" i="3"/>
  <c r="M15" i="3" l="1"/>
  <c r="M25" i="3"/>
  <c r="M13" i="3"/>
  <c r="M17" i="3"/>
  <c r="O13" i="3" s="1"/>
  <c r="P1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I13" authorId="0" shapeId="0" xr:uid="{8A1EFCDF-0F31-4B8D-80A8-3E5950D513D7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Remplacez seulement les nombres en rouge par les notes des étudiants</t>
        </r>
      </text>
    </comment>
    <comment ref="K13" authorId="0" shapeId="0" xr:uid="{C46D389A-8440-4DAB-9C84-35A3D652BE6B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Remplacez par la valeur de la case crédits requis lorsque la note est &gt; 12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I13" authorId="0" shapeId="0" xr:uid="{6073C9CF-3DD8-456A-B33C-F21487D1FAD9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Remplacez seulement les nombres en rouge par les notes des étudiants</t>
        </r>
      </text>
    </comment>
    <comment ref="K13" authorId="0" shapeId="0" xr:uid="{2CF18709-6D60-4FA5-845E-65C8F51D2FF4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Remplacez par la valeur de la case crédits requis lorsque la note est &gt; 12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I13" authorId="0" shapeId="0" xr:uid="{932C7E2F-B85F-4F0C-98AC-DA52F0601CF7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Remplacez seulement les nombres en rouge par les notes des étudiants</t>
        </r>
      </text>
    </comment>
    <comment ref="K13" authorId="0" shapeId="0" xr:uid="{94025D36-5CB6-45C8-A3B5-4514488BC721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Remplacez par la valeur de la case crédits requis lorsque la note est &gt; 12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I13" authorId="0" shapeId="0" xr:uid="{49FAC233-6739-457E-A3EA-1FD1B8BB1C86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Remplacez seulement les nombres en rouge par les notes des étudiants</t>
        </r>
      </text>
    </comment>
    <comment ref="K13" authorId="0" shapeId="0" xr:uid="{B8CC5F44-2624-48B5-A645-875F7A37EA69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Remplacez par la valeur de la case crédits requis lorsque la note est &gt; 12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I13" authorId="0" shapeId="0" xr:uid="{58C2C6D1-E9A3-473F-A5A7-0914DCD2CE4F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Remplacez seulement les nombres en rouge par les notes des étudiants</t>
        </r>
      </text>
    </comment>
    <comment ref="K13" authorId="0" shapeId="0" xr:uid="{A9F27CAC-4D3A-45C9-8486-66F49138A47C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Remplacez par la valeur de la case crédits requis lorsque la note est &gt; 12</t>
        </r>
      </text>
    </comment>
  </commentList>
</comments>
</file>

<file path=xl/sharedStrings.xml><?xml version="1.0" encoding="utf-8"?>
<sst xmlns="http://schemas.openxmlformats.org/spreadsheetml/2006/main" count="249" uniqueCount="125">
  <si>
    <t>Semestre</t>
  </si>
  <si>
    <t>Unités d’Enseignement  (U.E)</t>
  </si>
  <si>
    <t>Matière(s) constitutive(s) de l’unité d’enseignement</t>
  </si>
  <si>
    <t>Résultats obtenus</t>
  </si>
  <si>
    <t>Code</t>
  </si>
  <si>
    <t>Nature</t>
  </si>
  <si>
    <t>Crédits requis</t>
  </si>
  <si>
    <t>Coef.</t>
  </si>
  <si>
    <t>Intitulé(s)</t>
  </si>
  <si>
    <t>Crédits          requis</t>
  </si>
  <si>
    <t>Matières</t>
  </si>
  <si>
    <t>U.E</t>
  </si>
  <si>
    <t>Note</t>
  </si>
  <si>
    <t>Note Coef.</t>
  </si>
  <si>
    <t>Crédits obtenus</t>
  </si>
  <si>
    <t>Moyenne</t>
  </si>
  <si>
    <t xml:space="preserve">Bio-statistique et épidémiologie de base </t>
  </si>
  <si>
    <t>SLMI2101</t>
  </si>
  <si>
    <t xml:space="preserve">
Sciences de Laboratoire Médical I</t>
  </si>
  <si>
    <t xml:space="preserve">Maintenance biomédicale </t>
  </si>
  <si>
    <t xml:space="preserve">Métrologie </t>
  </si>
  <si>
    <t>SLMI2102</t>
  </si>
  <si>
    <t xml:space="preserve">
Sciences de Laboratoire Médical II</t>
  </si>
  <si>
    <t xml:space="preserve">Management de la qualité </t>
  </si>
  <si>
    <t>Gestion des laboratoires</t>
  </si>
  <si>
    <t xml:space="preserve">
Sciences de base I
</t>
  </si>
  <si>
    <t>SBI2103</t>
  </si>
  <si>
    <t xml:space="preserve">Entomologie appliquée </t>
  </si>
  <si>
    <t xml:space="preserve">Changements climatiques </t>
  </si>
  <si>
    <t xml:space="preserve">Santé environnementale  </t>
  </si>
  <si>
    <t xml:space="preserve">
Renforcement des compétences professionnelles I/ droit, et recherche 
</t>
  </si>
  <si>
    <t>RCPI2104</t>
  </si>
  <si>
    <t xml:space="preserve">Pédagogie </t>
  </si>
  <si>
    <t>Législation de travail</t>
  </si>
  <si>
    <t>Genre et leadership</t>
  </si>
  <si>
    <t xml:space="preserve">
Renforcement des compétences professionnelles II/communication, 
recherche
</t>
  </si>
  <si>
    <t>RCPII2105</t>
  </si>
  <si>
    <t xml:space="preserve">Informatique (logiciels de gestion des bases de données en santé) </t>
  </si>
  <si>
    <t>Anglais technique/Français</t>
  </si>
  <si>
    <t>BEB4106</t>
  </si>
  <si>
    <t xml:space="preserve">Épidémiologie appliquée </t>
  </si>
  <si>
    <t>Bio-statistique</t>
  </si>
  <si>
    <t>SLMIII121</t>
  </si>
  <si>
    <t xml:space="preserve">
Sciences de Laboratoire Médical III</t>
  </si>
  <si>
    <t>SLMIII122</t>
  </si>
  <si>
    <t xml:space="preserve">
Sciences de Laboratoire Médical IV</t>
  </si>
  <si>
    <t>Bactériologie I</t>
  </si>
  <si>
    <t>Virologie I</t>
  </si>
  <si>
    <t>Parasitologie I</t>
  </si>
  <si>
    <t>Biochimie I</t>
  </si>
  <si>
    <t>Immunologie I</t>
  </si>
  <si>
    <t>Hématologie I</t>
  </si>
  <si>
    <t>Immunohistochimie/ Immunochimie</t>
  </si>
  <si>
    <t xml:space="preserve">Cytologie et histologie </t>
  </si>
  <si>
    <t xml:space="preserve">Anatomie pathologie </t>
  </si>
  <si>
    <t xml:space="preserve">Biologie de la reproduction </t>
  </si>
  <si>
    <t>Biologie moléculaire I</t>
  </si>
  <si>
    <t xml:space="preserve">
Sciences de base II
</t>
  </si>
  <si>
    <t>SBII123</t>
  </si>
  <si>
    <t xml:space="preserve">
Sciences de base III
</t>
  </si>
  <si>
    <t>SBIII124</t>
  </si>
  <si>
    <t>Toxicologie I</t>
  </si>
  <si>
    <t xml:space="preserve">Pharmacologie </t>
  </si>
  <si>
    <t>Sciences en Santé Publique I</t>
  </si>
  <si>
    <t>Biosécurité</t>
  </si>
  <si>
    <t>Biosûreté</t>
  </si>
  <si>
    <t>SSPI125</t>
  </si>
  <si>
    <t>Renforcement des compétences professionnelles III</t>
  </si>
  <si>
    <t xml:space="preserve">Projet de recherche </t>
  </si>
  <si>
    <t>Ethique et déontologie</t>
  </si>
  <si>
    <t>RCPIII126</t>
  </si>
  <si>
    <t>SLMV131</t>
  </si>
  <si>
    <t>Bactériologie  II</t>
  </si>
  <si>
    <t>Virologie II</t>
  </si>
  <si>
    <t>Parasitologie II</t>
  </si>
  <si>
    <t>Biochimie II</t>
  </si>
  <si>
    <t>Immunologie II</t>
  </si>
  <si>
    <t>Hématologie II</t>
  </si>
  <si>
    <t>SLMVI132</t>
  </si>
  <si>
    <t xml:space="preserve">Mycologie </t>
  </si>
  <si>
    <t>Toxicologie II</t>
  </si>
  <si>
    <t>SLM133</t>
  </si>
  <si>
    <t>Renforcement des compétences professionnelles IV</t>
  </si>
  <si>
    <t xml:space="preserve">
Sciences de base IV
</t>
  </si>
  <si>
    <t>SBIV134</t>
  </si>
  <si>
    <t>RCPIV135</t>
  </si>
  <si>
    <t>Biochimie III</t>
  </si>
  <si>
    <t>Immunologie III</t>
  </si>
  <si>
    <t>Hématologie III</t>
  </si>
  <si>
    <t xml:space="preserve">
Sciences de Laboratoire Médical VIII</t>
  </si>
  <si>
    <t>SLMVIII141</t>
  </si>
  <si>
    <t xml:space="preserve">
Sciences de Laboratoire Médical IX</t>
  </si>
  <si>
    <t>SLMIX142</t>
  </si>
  <si>
    <t>Hémobiologie II</t>
  </si>
  <si>
    <t>Biologie moléculaire III</t>
  </si>
  <si>
    <t xml:space="preserve">
Sciences de Laboratoire Médical X</t>
  </si>
  <si>
    <t>SLMX143</t>
  </si>
  <si>
    <t>Toxicologie III</t>
  </si>
  <si>
    <t xml:space="preserve">
Sciences de base V
</t>
  </si>
  <si>
    <t>SBV144</t>
  </si>
  <si>
    <t>Renforcement des compétences professionnelles V</t>
  </si>
  <si>
    <t>RCPV145</t>
  </si>
  <si>
    <t xml:space="preserve">Hémobiologie </t>
  </si>
  <si>
    <t>Biologie moléculaire II</t>
  </si>
  <si>
    <t xml:space="preserve">Méthodologie de recherche </t>
  </si>
  <si>
    <t>Séminaire mycologie</t>
  </si>
  <si>
    <t xml:space="preserve">Séminaire parasitologie </t>
  </si>
  <si>
    <t>Séminaire virologie</t>
  </si>
  <si>
    <t xml:space="preserve">Séminaire bactériologie </t>
  </si>
  <si>
    <t>Développement personnel &amp; professionnel</t>
  </si>
  <si>
    <t>Sciences de Laboratoire Médical V</t>
  </si>
  <si>
    <t>Sciences de Laboratoire Médical VII</t>
  </si>
  <si>
    <t>Sciences de Laboratoire Médical VI</t>
  </si>
  <si>
    <t xml:space="preserve">Rédaction du mémoire </t>
  </si>
  <si>
    <t xml:space="preserve"> Entrepreneuriat</t>
  </si>
  <si>
    <t>RELEVE DE NOTES</t>
  </si>
  <si>
    <r>
      <t xml:space="preserve">N° Matricule : </t>
    </r>
    <r>
      <rPr>
        <sz val="10"/>
        <color theme="1"/>
        <rFont val="Times New Roman"/>
        <family val="1"/>
      </rPr>
      <t xml:space="preserve">002   </t>
    </r>
    <r>
      <rPr>
        <b/>
        <sz val="10"/>
        <color theme="1"/>
        <rFont val="Times New Roman"/>
        <family val="1"/>
      </rPr>
      <t xml:space="preserve">Nom : </t>
    </r>
    <r>
      <rPr>
        <sz val="10"/>
        <color theme="1"/>
        <rFont val="Times New Roman"/>
        <family val="1"/>
      </rPr>
      <t>HOUPHOUËT-BOIGNY</t>
    </r>
    <r>
      <rPr>
        <b/>
        <sz val="10"/>
        <color theme="1"/>
        <rFont val="Times New Roman"/>
        <family val="1"/>
      </rPr>
      <t xml:space="preserve">  Prénom:</t>
    </r>
    <r>
      <rPr>
        <sz val="10"/>
        <color theme="1"/>
        <rFont val="Times New Roman"/>
        <family val="1"/>
      </rPr>
      <t xml:space="preserve">Félix     </t>
    </r>
    <r>
      <rPr>
        <b/>
        <sz val="10"/>
        <color theme="1"/>
        <rFont val="Times New Roman"/>
        <family val="1"/>
      </rPr>
      <t>Date et lieu de naissance :</t>
    </r>
    <r>
      <rPr>
        <sz val="10"/>
        <color theme="1"/>
        <rFont val="Times New Roman"/>
        <family val="1"/>
      </rPr>
      <t xml:space="preserve"> 18 octobre 1905 à N’Gokro/AOF</t>
    </r>
  </si>
  <si>
    <r>
      <t>Année Universitaire :</t>
    </r>
    <r>
      <rPr>
        <sz val="10"/>
        <color theme="1"/>
        <rFont val="Times New Roman"/>
        <family val="1"/>
      </rPr>
      <t xml:space="preserve"> 2023-2024</t>
    </r>
    <r>
      <rPr>
        <b/>
        <sz val="10"/>
        <color theme="1"/>
        <rFont val="Times New Roman"/>
        <family val="1"/>
      </rPr>
      <t xml:space="preserve">  Niveau: Master     Semestre : </t>
    </r>
    <r>
      <rPr>
        <sz val="10"/>
        <color theme="1"/>
        <rFont val="Times New Roman"/>
        <family val="1"/>
      </rPr>
      <t>I</t>
    </r>
    <r>
      <rPr>
        <b/>
        <sz val="10"/>
        <color theme="1"/>
        <rFont val="Times New Roman"/>
        <family val="1"/>
      </rPr>
      <t xml:space="preserve">      Département : Biologie médicale</t>
    </r>
  </si>
  <si>
    <r>
      <t xml:space="preserve">Domaine : </t>
    </r>
    <r>
      <rPr>
        <sz val="10"/>
        <color theme="1"/>
        <rFont val="Times New Roman"/>
        <family val="1"/>
      </rPr>
      <t>Sciences de la santé</t>
    </r>
    <r>
      <rPr>
        <b/>
        <sz val="10"/>
        <color theme="1"/>
        <rFont val="Times New Roman"/>
        <family val="1"/>
      </rPr>
      <t xml:space="preserve">  Filière : </t>
    </r>
    <r>
      <rPr>
        <sz val="10"/>
        <color theme="1"/>
        <rFont val="Times New Roman"/>
        <family val="1"/>
      </rPr>
      <t>Biologie médicale</t>
    </r>
  </si>
  <si>
    <t>Bamako, le……………………….,20</t>
  </si>
  <si>
    <r>
      <t xml:space="preserve">Observation :……………………………………………………………………………………………..                                                                    </t>
    </r>
    <r>
      <rPr>
        <b/>
        <u/>
        <sz val="9"/>
        <color theme="1"/>
        <rFont val="Times New Roman"/>
        <family val="1"/>
      </rPr>
      <t>Le Directeur Général</t>
    </r>
  </si>
  <si>
    <t>Semestre I</t>
  </si>
  <si>
    <t>Semestre II</t>
  </si>
  <si>
    <t>Semestre III</t>
  </si>
  <si>
    <t>Semestre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</si>
</sst>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8"/>
      <name val="Calibri"/>
      <family val="2"/>
      <scheme val="minor"/>
    </font>
    <font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sz val="9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u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0" fillId="0" borderId="23" xfId="0" applyBorder="1"/>
    <xf numFmtId="0" fontId="1" fillId="0" borderId="2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0" fillId="0" borderId="30" xfId="0" applyBorder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textRotation="90" wrapText="1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34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3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wrapText="1"/>
    </xf>
    <xf numFmtId="0" fontId="1" fillId="0" borderId="2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10583</xdr:rowOff>
    </xdr:from>
    <xdr:to>
      <xdr:col>5</xdr:col>
      <xdr:colOff>42333</xdr:colOff>
      <xdr:row>3</xdr:row>
      <xdr:rowOff>176530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E56752D-38DE-5775-B7D8-B5AA86C431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94" b="50531"/>
        <a:stretch/>
      </xdr:blipFill>
      <xdr:spPr bwMode="auto">
        <a:xfrm>
          <a:off x="0" y="10583"/>
          <a:ext cx="3175000" cy="73744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10583</xdr:rowOff>
    </xdr:from>
    <xdr:to>
      <xdr:col>5</xdr:col>
      <xdr:colOff>156633</xdr:colOff>
      <xdr:row>3</xdr:row>
      <xdr:rowOff>176530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8CB51F7-9A27-4395-9F7C-104BD2B63C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94" b="50531"/>
        <a:stretch/>
      </xdr:blipFill>
      <xdr:spPr bwMode="auto">
        <a:xfrm>
          <a:off x="0" y="10583"/>
          <a:ext cx="3176058" cy="73744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10583</xdr:rowOff>
    </xdr:from>
    <xdr:to>
      <xdr:col>5</xdr:col>
      <xdr:colOff>51858</xdr:colOff>
      <xdr:row>3</xdr:row>
      <xdr:rowOff>176530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59E585D-C5B8-442D-A41A-7D9A13047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94" b="50531"/>
        <a:stretch/>
      </xdr:blipFill>
      <xdr:spPr bwMode="auto">
        <a:xfrm>
          <a:off x="0" y="10583"/>
          <a:ext cx="3176058" cy="73744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10583</xdr:rowOff>
    </xdr:from>
    <xdr:to>
      <xdr:col>5</xdr:col>
      <xdr:colOff>89958</xdr:colOff>
      <xdr:row>3</xdr:row>
      <xdr:rowOff>176530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0E7EDF0-C590-46B7-84CD-E7B496B4B4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94" b="50531"/>
        <a:stretch/>
      </xdr:blipFill>
      <xdr:spPr bwMode="auto">
        <a:xfrm>
          <a:off x="0" y="10583"/>
          <a:ext cx="3176058" cy="73744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169333</xdr:rowOff>
    </xdr:from>
    <xdr:to>
      <xdr:col>5</xdr:col>
      <xdr:colOff>42333</xdr:colOff>
      <xdr:row>7</xdr:row>
      <xdr:rowOff>144780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A8BF001-F2C2-48B7-A9EE-8B85A141E6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194" b="50531"/>
        <a:stretch/>
      </xdr:blipFill>
      <xdr:spPr bwMode="auto">
        <a:xfrm>
          <a:off x="0" y="740833"/>
          <a:ext cx="3175000" cy="73744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Q30"/>
  <sheetViews>
    <sheetView tabSelected="1" topLeftCell="C18" zoomScale="102" zoomScaleNormal="190" workbookViewId="0">
      <selection activeCell="J16" sqref="J16"/>
    </sheetView>
  </sheetViews>
  <sheetFormatPr baseColWidth="10" defaultRowHeight="15" x14ac:dyDescent="0.25"/>
  <cols>
    <col min="1" max="1" width="3.42578125" customWidth="1"/>
    <col min="2" max="2" width="10.140625" customWidth="1"/>
    <col min="3" max="3" width="19.5703125" customWidth="1"/>
    <col min="4" max="4" width="6.7109375" customWidth="1"/>
    <col min="5" max="5" width="7.140625" customWidth="1"/>
    <col min="6" max="6" width="19.85546875" customWidth="1"/>
    <col min="8" max="8" width="6.140625" customWidth="1"/>
    <col min="10" max="10" width="7.85546875" customWidth="1"/>
    <col min="12" max="13" width="8.28515625" customWidth="1"/>
    <col min="14" max="14" width="8.42578125" customWidth="1"/>
    <col min="15" max="15" width="9.42578125" customWidth="1"/>
  </cols>
  <sheetData>
    <row r="5" spans="1:17" x14ac:dyDescent="0.25">
      <c r="A5" s="50" t="s">
        <v>115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</row>
    <row r="6" spans="1:17" x14ac:dyDescent="0.25">
      <c r="A6" s="42" t="s">
        <v>117</v>
      </c>
    </row>
    <row r="7" spans="1:17" x14ac:dyDescent="0.25">
      <c r="A7" s="42" t="s">
        <v>116</v>
      </c>
    </row>
    <row r="8" spans="1:17" x14ac:dyDescent="0.25">
      <c r="A8" s="42" t="s">
        <v>118</v>
      </c>
    </row>
    <row r="9" spans="1:17" ht="27" customHeight="1" x14ac:dyDescent="0.25">
      <c r="A9" s="72" t="s">
        <v>121</v>
      </c>
      <c r="B9" s="81" t="s">
        <v>1</v>
      </c>
      <c r="C9" s="59"/>
      <c r="D9" s="59"/>
      <c r="E9" s="59"/>
      <c r="F9" s="59" t="s">
        <v>2</v>
      </c>
      <c r="G9" s="59"/>
      <c r="H9" s="59"/>
      <c r="I9" s="59" t="s">
        <v>3</v>
      </c>
      <c r="J9" s="59"/>
      <c r="K9" s="59"/>
      <c r="L9" s="59"/>
      <c r="M9" s="59"/>
      <c r="N9" s="59"/>
      <c r="O9" s="59"/>
      <c r="P9" s="59"/>
      <c r="Q9" s="1"/>
    </row>
    <row r="10" spans="1:17" x14ac:dyDescent="0.25">
      <c r="A10" s="73"/>
      <c r="B10" s="51" t="s">
        <v>4</v>
      </c>
      <c r="C10" s="53" t="s">
        <v>5</v>
      </c>
      <c r="D10" s="53" t="s">
        <v>6</v>
      </c>
      <c r="E10" s="53" t="s">
        <v>7</v>
      </c>
      <c r="F10" s="53" t="s">
        <v>8</v>
      </c>
      <c r="G10" s="53" t="s">
        <v>9</v>
      </c>
      <c r="H10" s="53" t="s">
        <v>7</v>
      </c>
      <c r="I10" s="53" t="s">
        <v>10</v>
      </c>
      <c r="J10" s="53"/>
      <c r="K10" s="53"/>
      <c r="L10" s="53" t="s">
        <v>11</v>
      </c>
      <c r="M10" s="53"/>
      <c r="N10" s="53"/>
      <c r="O10" s="53" t="s">
        <v>0</v>
      </c>
      <c r="P10" s="53"/>
      <c r="Q10" s="1"/>
    </row>
    <row r="11" spans="1:17" ht="15" customHeight="1" x14ac:dyDescent="0.25">
      <c r="A11" s="73"/>
      <c r="B11" s="51"/>
      <c r="C11" s="53"/>
      <c r="D11" s="53"/>
      <c r="E11" s="53"/>
      <c r="F11" s="53"/>
      <c r="G11" s="53"/>
      <c r="H11" s="53"/>
      <c r="I11" s="53" t="s">
        <v>12</v>
      </c>
      <c r="J11" s="53" t="s">
        <v>13</v>
      </c>
      <c r="K11" s="53" t="s">
        <v>14</v>
      </c>
      <c r="L11" s="53" t="s">
        <v>12</v>
      </c>
      <c r="M11" s="53" t="s">
        <v>13</v>
      </c>
      <c r="N11" s="53" t="s">
        <v>14</v>
      </c>
      <c r="O11" s="53" t="s">
        <v>15</v>
      </c>
      <c r="P11" s="53" t="s">
        <v>14</v>
      </c>
      <c r="Q11" s="1"/>
    </row>
    <row r="12" spans="1:17" x14ac:dyDescent="0.25">
      <c r="A12" s="73"/>
      <c r="B12" s="51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1"/>
    </row>
    <row r="13" spans="1:17" ht="24" customHeight="1" x14ac:dyDescent="0.25">
      <c r="A13" s="73"/>
      <c r="B13" s="51" t="s">
        <v>17</v>
      </c>
      <c r="C13" s="53" t="s">
        <v>18</v>
      </c>
      <c r="D13" s="59">
        <f>G13+G14</f>
        <v>5</v>
      </c>
      <c r="E13" s="59">
        <f>H13+H14</f>
        <v>5</v>
      </c>
      <c r="F13" s="3" t="s">
        <v>19</v>
      </c>
      <c r="G13" s="2">
        <v>3</v>
      </c>
      <c r="H13" s="2">
        <v>3</v>
      </c>
      <c r="I13" s="31">
        <v>12</v>
      </c>
      <c r="J13" s="2">
        <f>H13*I13</f>
        <v>36</v>
      </c>
      <c r="K13" s="2">
        <f>(I13*G13)/12</f>
        <v>3</v>
      </c>
      <c r="L13" s="54">
        <f>(J13+J14)/E13</f>
        <v>12</v>
      </c>
      <c r="M13" s="54">
        <f>L13*E13</f>
        <v>60</v>
      </c>
      <c r="N13" s="53">
        <f>(L13*D13)/12</f>
        <v>5</v>
      </c>
      <c r="O13" s="54">
        <f>(M13+M15+M17+M20+M23+M25)/30</f>
        <v>12</v>
      </c>
      <c r="P13" s="54">
        <f>(O13*30)/12</f>
        <v>30</v>
      </c>
      <c r="Q13" s="1"/>
    </row>
    <row r="14" spans="1:17" ht="36.75" customHeight="1" thickBot="1" x14ac:dyDescent="0.3">
      <c r="A14" s="73"/>
      <c r="B14" s="52"/>
      <c r="C14" s="54"/>
      <c r="D14" s="60"/>
      <c r="E14" s="61"/>
      <c r="F14" s="9" t="s">
        <v>20</v>
      </c>
      <c r="G14" s="5">
        <v>2</v>
      </c>
      <c r="H14" s="5">
        <v>2</v>
      </c>
      <c r="I14" s="32">
        <v>12</v>
      </c>
      <c r="J14" s="12">
        <f t="shared" ref="J14:J26" si="0">H14*I14</f>
        <v>24</v>
      </c>
      <c r="K14" s="12">
        <f t="shared" ref="K14:K26" si="1">(I14*G14)/12</f>
        <v>2</v>
      </c>
      <c r="L14" s="62"/>
      <c r="M14" s="56"/>
      <c r="N14" s="66"/>
      <c r="O14" s="56"/>
      <c r="P14" s="56"/>
      <c r="Q14" s="1"/>
    </row>
    <row r="15" spans="1:17" ht="24.75" customHeight="1" x14ac:dyDescent="0.25">
      <c r="A15" s="73"/>
      <c r="B15" s="63" t="s">
        <v>21</v>
      </c>
      <c r="C15" s="65" t="s">
        <v>22</v>
      </c>
      <c r="D15" s="75">
        <f>G15+G16</f>
        <v>5</v>
      </c>
      <c r="E15" s="77">
        <f>H15+H16</f>
        <v>5</v>
      </c>
      <c r="F15" s="11" t="s">
        <v>23</v>
      </c>
      <c r="G15" s="10">
        <v>2</v>
      </c>
      <c r="H15" s="10">
        <v>2</v>
      </c>
      <c r="I15" s="33">
        <v>12</v>
      </c>
      <c r="J15" s="4">
        <f t="shared" si="0"/>
        <v>24</v>
      </c>
      <c r="K15" s="4">
        <f t="shared" si="1"/>
        <v>2</v>
      </c>
      <c r="L15" s="56">
        <f>(J15+J16)/E15</f>
        <v>12</v>
      </c>
      <c r="M15" s="68">
        <f>E15*L15</f>
        <v>60</v>
      </c>
      <c r="N15" s="65">
        <f>(L15*D15)/12</f>
        <v>5</v>
      </c>
      <c r="O15" s="56"/>
      <c r="P15" s="56"/>
      <c r="Q15" s="1"/>
    </row>
    <row r="16" spans="1:17" ht="27.75" customHeight="1" thickBot="1" x14ac:dyDescent="0.3">
      <c r="A16" s="73"/>
      <c r="B16" s="64"/>
      <c r="C16" s="66"/>
      <c r="D16" s="76"/>
      <c r="E16" s="76"/>
      <c r="F16" s="14" t="s">
        <v>24</v>
      </c>
      <c r="G16" s="12">
        <v>3</v>
      </c>
      <c r="H16" s="12">
        <v>3</v>
      </c>
      <c r="I16" s="35">
        <v>12</v>
      </c>
      <c r="J16" s="12">
        <f t="shared" si="0"/>
        <v>36</v>
      </c>
      <c r="K16" s="12">
        <f t="shared" si="1"/>
        <v>3</v>
      </c>
      <c r="L16" s="62"/>
      <c r="M16" s="58"/>
      <c r="N16" s="66"/>
      <c r="O16" s="56"/>
      <c r="P16" s="56"/>
      <c r="Q16" s="1"/>
    </row>
    <row r="17" spans="1:17" x14ac:dyDescent="0.25">
      <c r="A17" s="73"/>
      <c r="B17" s="78" t="s">
        <v>26</v>
      </c>
      <c r="C17" s="79" t="s">
        <v>25</v>
      </c>
      <c r="D17" s="80">
        <f>G17+G18+G19</f>
        <v>6</v>
      </c>
      <c r="E17" s="80">
        <f>H17+H18+H19</f>
        <v>6</v>
      </c>
      <c r="F17" s="3" t="s">
        <v>27</v>
      </c>
      <c r="G17" s="4">
        <v>2</v>
      </c>
      <c r="H17" s="4">
        <v>2</v>
      </c>
      <c r="I17" s="36">
        <v>12</v>
      </c>
      <c r="J17" s="4">
        <f t="shared" si="0"/>
        <v>24</v>
      </c>
      <c r="K17" s="4">
        <f t="shared" si="1"/>
        <v>2</v>
      </c>
      <c r="L17" s="69">
        <f>(J17+J18+J19)/E17</f>
        <v>12</v>
      </c>
      <c r="M17" s="69">
        <f>E17*L17</f>
        <v>72</v>
      </c>
      <c r="N17" s="69">
        <f>(L17*D17)/12</f>
        <v>6</v>
      </c>
      <c r="O17" s="56"/>
      <c r="P17" s="56"/>
      <c r="Q17" s="1"/>
    </row>
    <row r="18" spans="1:17" ht="24" x14ac:dyDescent="0.25">
      <c r="A18" s="73"/>
      <c r="B18" s="55"/>
      <c r="C18" s="56"/>
      <c r="D18" s="77"/>
      <c r="E18" s="77"/>
      <c r="F18" s="3" t="s">
        <v>28</v>
      </c>
      <c r="G18" s="6">
        <v>2</v>
      </c>
      <c r="H18" s="6">
        <v>2</v>
      </c>
      <c r="I18" s="38">
        <v>12</v>
      </c>
      <c r="J18" s="6">
        <f t="shared" si="0"/>
        <v>24</v>
      </c>
      <c r="K18" s="2">
        <f t="shared" si="1"/>
        <v>2</v>
      </c>
      <c r="L18" s="57"/>
      <c r="M18" s="57"/>
      <c r="N18" s="71"/>
      <c r="O18" s="56"/>
      <c r="P18" s="56"/>
      <c r="Q18" s="1"/>
    </row>
    <row r="19" spans="1:17" ht="28.5" customHeight="1" thickBot="1" x14ac:dyDescent="0.3">
      <c r="A19" s="73"/>
      <c r="B19" s="52"/>
      <c r="C19" s="54"/>
      <c r="D19" s="60"/>
      <c r="E19" s="60"/>
      <c r="F19" s="9" t="s">
        <v>29</v>
      </c>
      <c r="G19" s="5">
        <v>2</v>
      </c>
      <c r="H19" s="5">
        <v>2</v>
      </c>
      <c r="I19" s="32">
        <v>12</v>
      </c>
      <c r="J19" s="5">
        <f t="shared" si="0"/>
        <v>24</v>
      </c>
      <c r="K19" s="12">
        <f t="shared" si="1"/>
        <v>2</v>
      </c>
      <c r="L19" s="70"/>
      <c r="M19" s="70"/>
      <c r="N19" s="70"/>
      <c r="O19" s="56"/>
      <c r="P19" s="56"/>
      <c r="Q19" s="1"/>
    </row>
    <row r="20" spans="1:17" x14ac:dyDescent="0.25">
      <c r="A20" s="73"/>
      <c r="B20" s="63" t="s">
        <v>31</v>
      </c>
      <c r="C20" s="65" t="s">
        <v>30</v>
      </c>
      <c r="D20" s="84">
        <f>G20+G22+G21</f>
        <v>6</v>
      </c>
      <c r="E20" s="84">
        <f>H20+H22+H21</f>
        <v>6</v>
      </c>
      <c r="F20" s="11" t="s">
        <v>32</v>
      </c>
      <c r="G20" s="10">
        <v>2</v>
      </c>
      <c r="H20" s="10">
        <v>2</v>
      </c>
      <c r="I20" s="33">
        <v>12</v>
      </c>
      <c r="J20" s="10">
        <f t="shared" si="0"/>
        <v>24</v>
      </c>
      <c r="K20" s="4">
        <f t="shared" si="1"/>
        <v>2</v>
      </c>
      <c r="L20" s="68">
        <f>(J20+J21+J22)/E20</f>
        <v>12</v>
      </c>
      <c r="M20" s="68">
        <f>E20*L20</f>
        <v>72</v>
      </c>
      <c r="N20" s="82">
        <f>(L20*D20)/12</f>
        <v>6</v>
      </c>
      <c r="O20" s="55"/>
      <c r="P20" s="56"/>
      <c r="Q20" s="1"/>
    </row>
    <row r="21" spans="1:17" x14ac:dyDescent="0.25">
      <c r="A21" s="73"/>
      <c r="B21" s="55"/>
      <c r="C21" s="56"/>
      <c r="D21" s="77"/>
      <c r="E21" s="77"/>
      <c r="F21" s="3" t="s">
        <v>33</v>
      </c>
      <c r="G21" s="6">
        <v>2</v>
      </c>
      <c r="H21" s="6">
        <v>2</v>
      </c>
      <c r="I21" s="34">
        <v>12</v>
      </c>
      <c r="J21" s="6">
        <f t="shared" si="0"/>
        <v>24</v>
      </c>
      <c r="K21" s="2">
        <f t="shared" si="1"/>
        <v>2</v>
      </c>
      <c r="L21" s="57"/>
      <c r="M21" s="57"/>
      <c r="N21" s="71"/>
      <c r="O21" s="55"/>
      <c r="P21" s="56"/>
      <c r="Q21" s="1"/>
    </row>
    <row r="22" spans="1:17" ht="33.75" customHeight="1" thickBot="1" x14ac:dyDescent="0.3">
      <c r="A22" s="73"/>
      <c r="B22" s="64"/>
      <c r="C22" s="66"/>
      <c r="D22" s="61"/>
      <c r="E22" s="61"/>
      <c r="F22" s="14" t="s">
        <v>34</v>
      </c>
      <c r="G22" s="12">
        <v>2</v>
      </c>
      <c r="H22" s="12">
        <v>2</v>
      </c>
      <c r="I22" s="39">
        <v>12</v>
      </c>
      <c r="J22" s="12">
        <f t="shared" si="0"/>
        <v>24</v>
      </c>
      <c r="K22" s="12">
        <f t="shared" si="1"/>
        <v>2</v>
      </c>
      <c r="L22" s="58"/>
      <c r="M22" s="58"/>
      <c r="N22" s="70"/>
      <c r="O22" s="55"/>
      <c r="P22" s="56"/>
      <c r="Q22" s="1"/>
    </row>
    <row r="23" spans="1:17" ht="34.5" customHeight="1" x14ac:dyDescent="0.25">
      <c r="A23" s="73"/>
      <c r="B23" s="55" t="s">
        <v>36</v>
      </c>
      <c r="C23" s="56" t="s">
        <v>35</v>
      </c>
      <c r="D23" s="75">
        <f>G23+G24</f>
        <v>4</v>
      </c>
      <c r="E23" s="75">
        <f>H23+H24</f>
        <v>4</v>
      </c>
      <c r="F23" s="3" t="s">
        <v>38</v>
      </c>
      <c r="G23" s="4">
        <v>2</v>
      </c>
      <c r="H23" s="4">
        <v>2</v>
      </c>
      <c r="I23" s="40">
        <v>12</v>
      </c>
      <c r="J23" s="4">
        <f t="shared" si="0"/>
        <v>24</v>
      </c>
      <c r="K23" s="4">
        <f t="shared" si="1"/>
        <v>2</v>
      </c>
      <c r="L23" s="57">
        <f>(J23+J24)/E23</f>
        <v>12</v>
      </c>
      <c r="M23" s="57">
        <f>L23*D23</f>
        <v>48</v>
      </c>
      <c r="N23" s="82">
        <f>(L23*D23)/12</f>
        <v>4</v>
      </c>
      <c r="O23" s="56"/>
      <c r="P23" s="56"/>
      <c r="Q23" s="1"/>
    </row>
    <row r="24" spans="1:17" ht="47.25" customHeight="1" thickBot="1" x14ac:dyDescent="0.3">
      <c r="A24" s="73"/>
      <c r="B24" s="55"/>
      <c r="C24" s="56"/>
      <c r="D24" s="76"/>
      <c r="E24" s="76"/>
      <c r="F24" s="8" t="s">
        <v>37</v>
      </c>
      <c r="G24" s="5">
        <v>2</v>
      </c>
      <c r="H24" s="5">
        <v>2</v>
      </c>
      <c r="I24" s="32">
        <v>12</v>
      </c>
      <c r="J24" s="5">
        <f t="shared" si="0"/>
        <v>24</v>
      </c>
      <c r="K24" s="12">
        <f t="shared" si="1"/>
        <v>2</v>
      </c>
      <c r="L24" s="58"/>
      <c r="M24" s="57"/>
      <c r="N24" s="83"/>
      <c r="O24" s="56"/>
      <c r="P24" s="56"/>
      <c r="Q24" s="1"/>
    </row>
    <row r="25" spans="1:17" ht="26.25" customHeight="1" x14ac:dyDescent="0.25">
      <c r="A25" s="73"/>
      <c r="B25" s="63" t="s">
        <v>39</v>
      </c>
      <c r="C25" s="65" t="s">
        <v>16</v>
      </c>
      <c r="D25" s="84">
        <f>G25+G26</f>
        <v>4</v>
      </c>
      <c r="E25" s="84">
        <f>H25+H26</f>
        <v>4</v>
      </c>
      <c r="F25" s="11" t="s">
        <v>41</v>
      </c>
      <c r="G25" s="10">
        <v>2</v>
      </c>
      <c r="H25" s="10">
        <v>2</v>
      </c>
      <c r="I25" s="33">
        <v>12</v>
      </c>
      <c r="J25" s="10">
        <f t="shared" si="0"/>
        <v>24</v>
      </c>
      <c r="K25" s="4">
        <f t="shared" si="1"/>
        <v>2</v>
      </c>
      <c r="L25" s="57">
        <f>(J25+J26)/E25</f>
        <v>12</v>
      </c>
      <c r="M25" s="82">
        <f>E25*L25</f>
        <v>48</v>
      </c>
      <c r="N25" s="82">
        <f>(L25*D25)/12</f>
        <v>4</v>
      </c>
      <c r="O25" s="55"/>
      <c r="P25" s="56"/>
      <c r="Q25" s="1"/>
    </row>
    <row r="26" spans="1:17" ht="22.5" customHeight="1" thickBot="1" x14ac:dyDescent="0.3">
      <c r="A26" s="74"/>
      <c r="B26" s="64"/>
      <c r="C26" s="66"/>
      <c r="D26" s="61"/>
      <c r="E26" s="61"/>
      <c r="F26" s="13" t="s">
        <v>40</v>
      </c>
      <c r="G26" s="12">
        <v>2</v>
      </c>
      <c r="H26" s="12">
        <v>2</v>
      </c>
      <c r="I26" s="39">
        <v>12</v>
      </c>
      <c r="J26" s="12">
        <f t="shared" si="0"/>
        <v>24</v>
      </c>
      <c r="K26" s="12">
        <f t="shared" si="1"/>
        <v>2</v>
      </c>
      <c r="L26" s="58"/>
      <c r="M26" s="83"/>
      <c r="N26" s="83"/>
      <c r="O26" s="67"/>
      <c r="P26" s="62"/>
      <c r="Q26" s="1"/>
    </row>
    <row r="27" spans="1:17" ht="15.75" thickTop="1" x14ac:dyDescent="0.25"/>
    <row r="28" spans="1:17" x14ac:dyDescent="0.25">
      <c r="A28" s="43"/>
      <c r="K28" s="45" t="s">
        <v>119</v>
      </c>
    </row>
    <row r="29" spans="1:17" x14ac:dyDescent="0.25">
      <c r="A29" s="43"/>
      <c r="K29" s="45"/>
    </row>
    <row r="30" spans="1:17" x14ac:dyDescent="0.25">
      <c r="A30" s="44" t="s">
        <v>120</v>
      </c>
    </row>
  </sheetData>
  <mergeCells count="67">
    <mergeCell ref="D23:D24"/>
    <mergeCell ref="E23:E24"/>
    <mergeCell ref="B25:B26"/>
    <mergeCell ref="C25:C26"/>
    <mergeCell ref="D25:D26"/>
    <mergeCell ref="E25:E26"/>
    <mergeCell ref="B20:B22"/>
    <mergeCell ref="C20:C22"/>
    <mergeCell ref="D20:D22"/>
    <mergeCell ref="E20:E22"/>
    <mergeCell ref="L20:L22"/>
    <mergeCell ref="C10:C12"/>
    <mergeCell ref="D10:D12"/>
    <mergeCell ref="E10:E12"/>
    <mergeCell ref="M20:M22"/>
    <mergeCell ref="N20:N22"/>
    <mergeCell ref="L11:L12"/>
    <mergeCell ref="M11:M12"/>
    <mergeCell ref="N11:N12"/>
    <mergeCell ref="A9:A26"/>
    <mergeCell ref="D15:D16"/>
    <mergeCell ref="E15:E16"/>
    <mergeCell ref="L15:L16"/>
    <mergeCell ref="B17:B19"/>
    <mergeCell ref="C17:C19"/>
    <mergeCell ref="D17:D19"/>
    <mergeCell ref="E17:E19"/>
    <mergeCell ref="L17:L19"/>
    <mergeCell ref="B9:E9"/>
    <mergeCell ref="F9:H9"/>
    <mergeCell ref="I9:P9"/>
    <mergeCell ref="B10:B12"/>
    <mergeCell ref="N23:N24"/>
    <mergeCell ref="M13:M14"/>
    <mergeCell ref="N13:N14"/>
    <mergeCell ref="O13:O26"/>
    <mergeCell ref="H10:H12"/>
    <mergeCell ref="I10:K10"/>
    <mergeCell ref="L10:N10"/>
    <mergeCell ref="O10:P10"/>
    <mergeCell ref="I11:I12"/>
    <mergeCell ref="J11:J12"/>
    <mergeCell ref="P13:P26"/>
    <mergeCell ref="M15:M16"/>
    <mergeCell ref="N15:N16"/>
    <mergeCell ref="M17:M19"/>
    <mergeCell ref="N17:N19"/>
    <mergeCell ref="K11:K12"/>
    <mergeCell ref="M25:M26"/>
    <mergeCell ref="N25:N26"/>
    <mergeCell ref="L25:L26"/>
    <mergeCell ref="A5:P5"/>
    <mergeCell ref="B13:B14"/>
    <mergeCell ref="C13:C14"/>
    <mergeCell ref="B23:B24"/>
    <mergeCell ref="C23:C24"/>
    <mergeCell ref="L23:L24"/>
    <mergeCell ref="D13:D14"/>
    <mergeCell ref="E13:E14"/>
    <mergeCell ref="L13:L14"/>
    <mergeCell ref="B15:B16"/>
    <mergeCell ref="C15:C16"/>
    <mergeCell ref="F10:F12"/>
    <mergeCell ref="G10:G12"/>
    <mergeCell ref="O11:O12"/>
    <mergeCell ref="P11:P12"/>
    <mergeCell ref="M23:M24"/>
  </mergeCells>
  <phoneticPr fontId="5" type="noConversion"/>
  <pageMargins left="0.7" right="0.7" top="0.75" bottom="0.75" header="0.3" footer="0.3"/>
  <pageSetup paperSize="9" scale="8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66A1-80D5-4457-945A-658CEC9EA6D3}">
  <dimension ref="A5:BJ33"/>
  <sheetViews>
    <sheetView topLeftCell="A5" zoomScaleNormal="100" workbookViewId="0">
      <selection activeCell="A9" sqref="A9:A29"/>
    </sheetView>
  </sheetViews>
  <sheetFormatPr baseColWidth="10" defaultRowHeight="15" x14ac:dyDescent="0.25"/>
  <cols>
    <col min="1" max="1" width="3.42578125" customWidth="1"/>
    <col min="2" max="2" width="9.5703125" customWidth="1"/>
    <col min="3" max="3" width="18.42578125" customWidth="1"/>
    <col min="4" max="4" width="6.7109375" customWidth="1"/>
    <col min="5" max="5" width="7.140625" customWidth="1"/>
    <col min="6" max="6" width="19.85546875" customWidth="1"/>
    <col min="8" max="8" width="6.140625" customWidth="1"/>
    <col min="10" max="10" width="7.85546875" customWidth="1"/>
    <col min="12" max="13" width="8.28515625" customWidth="1"/>
    <col min="14" max="14" width="8.42578125" customWidth="1"/>
    <col min="15" max="15" width="9.42578125" customWidth="1"/>
  </cols>
  <sheetData>
    <row r="5" spans="1:17" x14ac:dyDescent="0.25">
      <c r="A5" s="50" t="s">
        <v>115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</row>
    <row r="6" spans="1:17" x14ac:dyDescent="0.25">
      <c r="A6" s="42" t="s">
        <v>117</v>
      </c>
    </row>
    <row r="7" spans="1:17" x14ac:dyDescent="0.25">
      <c r="A7" s="42" t="s">
        <v>116</v>
      </c>
    </row>
    <row r="8" spans="1:17" x14ac:dyDescent="0.25">
      <c r="A8" s="42" t="s">
        <v>118</v>
      </c>
    </row>
    <row r="9" spans="1:17" ht="27" customHeight="1" x14ac:dyDescent="0.25">
      <c r="A9" s="85" t="s">
        <v>122</v>
      </c>
      <c r="B9" s="59" t="s">
        <v>1</v>
      </c>
      <c r="C9" s="59"/>
      <c r="D9" s="59"/>
      <c r="E9" s="59"/>
      <c r="F9" s="59" t="s">
        <v>2</v>
      </c>
      <c r="G9" s="59"/>
      <c r="H9" s="59"/>
      <c r="I9" s="59" t="s">
        <v>3</v>
      </c>
      <c r="J9" s="59"/>
      <c r="K9" s="59"/>
      <c r="L9" s="59"/>
      <c r="M9" s="59"/>
      <c r="N9" s="59"/>
      <c r="O9" s="59"/>
      <c r="P9" s="59"/>
      <c r="Q9" s="1"/>
    </row>
    <row r="10" spans="1:17" x14ac:dyDescent="0.25">
      <c r="A10" s="86"/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  <c r="G10" s="53" t="s">
        <v>9</v>
      </c>
      <c r="H10" s="53" t="s">
        <v>7</v>
      </c>
      <c r="I10" s="53" t="s">
        <v>10</v>
      </c>
      <c r="J10" s="53"/>
      <c r="K10" s="53"/>
      <c r="L10" s="53" t="s">
        <v>11</v>
      </c>
      <c r="M10" s="53"/>
      <c r="N10" s="53"/>
      <c r="O10" s="53" t="s">
        <v>0</v>
      </c>
      <c r="P10" s="53"/>
      <c r="Q10" s="1"/>
    </row>
    <row r="11" spans="1:17" ht="15" customHeight="1" x14ac:dyDescent="0.25">
      <c r="A11" s="86"/>
      <c r="B11" s="53"/>
      <c r="C11" s="53"/>
      <c r="D11" s="53"/>
      <c r="E11" s="53"/>
      <c r="F11" s="53"/>
      <c r="G11" s="53"/>
      <c r="H11" s="53"/>
      <c r="I11" s="53" t="s">
        <v>12</v>
      </c>
      <c r="J11" s="53" t="s">
        <v>13</v>
      </c>
      <c r="K11" s="53" t="s">
        <v>14</v>
      </c>
      <c r="L11" s="53" t="s">
        <v>12</v>
      </c>
      <c r="M11" s="53" t="s">
        <v>13</v>
      </c>
      <c r="N11" s="53" t="s">
        <v>14</v>
      </c>
      <c r="O11" s="53" t="s">
        <v>15</v>
      </c>
      <c r="P11" s="53" t="s">
        <v>14</v>
      </c>
      <c r="Q11" s="1"/>
    </row>
    <row r="12" spans="1:17" x14ac:dyDescent="0.25">
      <c r="A12" s="86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1"/>
    </row>
    <row r="13" spans="1:17" ht="20.25" customHeight="1" x14ac:dyDescent="0.25">
      <c r="A13" s="86"/>
      <c r="B13" s="53" t="s">
        <v>42</v>
      </c>
      <c r="C13" s="53" t="s">
        <v>43</v>
      </c>
      <c r="D13" s="59">
        <f>G13+G15+G14</f>
        <v>6</v>
      </c>
      <c r="E13" s="59">
        <f>H13+H15+H14</f>
        <v>6</v>
      </c>
      <c r="F13" s="3" t="s">
        <v>46</v>
      </c>
      <c r="G13" s="17">
        <v>2</v>
      </c>
      <c r="H13" s="2">
        <v>2</v>
      </c>
      <c r="I13" s="31">
        <v>12</v>
      </c>
      <c r="J13" s="2">
        <f>H13*I13</f>
        <v>24</v>
      </c>
      <c r="K13" s="2">
        <f>(I13*G13)/12</f>
        <v>2</v>
      </c>
      <c r="L13" s="54">
        <f>(J13+J14+J15)/E13</f>
        <v>12</v>
      </c>
      <c r="M13" s="54">
        <f>L13*E13</f>
        <v>72</v>
      </c>
      <c r="N13" s="54">
        <f>(L13*D13)/12</f>
        <v>6</v>
      </c>
      <c r="O13" s="54">
        <f>(M13+M16+M20+M24+M26+M28)/30</f>
        <v>12</v>
      </c>
      <c r="P13" s="89">
        <f>(O13*30)/12</f>
        <v>30</v>
      </c>
      <c r="Q13" s="1"/>
    </row>
    <row r="14" spans="1:17" ht="21" customHeight="1" x14ac:dyDescent="0.25">
      <c r="A14" s="86"/>
      <c r="B14" s="54"/>
      <c r="C14" s="54"/>
      <c r="D14" s="60"/>
      <c r="E14" s="60"/>
      <c r="F14" s="7" t="s">
        <v>47</v>
      </c>
      <c r="G14" s="18">
        <v>2</v>
      </c>
      <c r="H14" s="5">
        <v>2</v>
      </c>
      <c r="I14" s="32">
        <v>12</v>
      </c>
      <c r="J14" s="2">
        <f>H14*I14</f>
        <v>24</v>
      </c>
      <c r="K14" s="2">
        <f t="shared" ref="K14:K29" si="0">(I14*G14)/12</f>
        <v>2</v>
      </c>
      <c r="L14" s="56"/>
      <c r="M14" s="56"/>
      <c r="N14" s="56"/>
      <c r="O14" s="56"/>
      <c r="P14" s="90"/>
      <c r="Q14" s="1"/>
    </row>
    <row r="15" spans="1:17" ht="20.25" customHeight="1" thickBot="1" x14ac:dyDescent="0.3">
      <c r="A15" s="86"/>
      <c r="B15" s="54"/>
      <c r="C15" s="54"/>
      <c r="D15" s="60"/>
      <c r="E15" s="61"/>
      <c r="F15" s="7" t="s">
        <v>48</v>
      </c>
      <c r="G15" s="18">
        <v>2</v>
      </c>
      <c r="H15" s="5">
        <v>2</v>
      </c>
      <c r="I15" s="32">
        <v>12</v>
      </c>
      <c r="J15" s="12">
        <f t="shared" ref="J15:J29" si="1">H15*I15</f>
        <v>24</v>
      </c>
      <c r="K15" s="2">
        <f t="shared" si="0"/>
        <v>2</v>
      </c>
      <c r="L15" s="56"/>
      <c r="M15" s="56"/>
      <c r="N15" s="56"/>
      <c r="O15" s="56"/>
      <c r="P15" s="90"/>
      <c r="Q15" s="1"/>
    </row>
    <row r="16" spans="1:17" ht="19.5" customHeight="1" x14ac:dyDescent="0.25">
      <c r="A16" s="86"/>
      <c r="B16" s="53" t="s">
        <v>44</v>
      </c>
      <c r="C16" s="65" t="s">
        <v>45</v>
      </c>
      <c r="D16" s="75">
        <f>G16+G19+G17+G18</f>
        <v>6</v>
      </c>
      <c r="E16" s="77">
        <f>H16+H19+H17+H18</f>
        <v>6</v>
      </c>
      <c r="F16" s="3" t="s">
        <v>49</v>
      </c>
      <c r="G16" s="19">
        <v>2</v>
      </c>
      <c r="H16" s="10">
        <v>2</v>
      </c>
      <c r="I16" s="33">
        <v>12</v>
      </c>
      <c r="J16" s="4">
        <f t="shared" si="1"/>
        <v>24</v>
      </c>
      <c r="K16" s="2">
        <f t="shared" si="0"/>
        <v>2</v>
      </c>
      <c r="L16" s="68">
        <f>(J16+J17+J18+J19)/E16</f>
        <v>12</v>
      </c>
      <c r="M16" s="68">
        <f>E16*L16</f>
        <v>72</v>
      </c>
      <c r="N16" s="68">
        <f>(L16*D16)/12</f>
        <v>6</v>
      </c>
      <c r="O16" s="56"/>
      <c r="P16" s="90"/>
      <c r="Q16" s="1"/>
    </row>
    <row r="17" spans="1:62" ht="19.5" customHeight="1" x14ac:dyDescent="0.25">
      <c r="A17" s="86"/>
      <c r="B17" s="54"/>
      <c r="C17" s="56"/>
      <c r="D17" s="77"/>
      <c r="E17" s="77"/>
      <c r="F17" s="3" t="s">
        <v>50</v>
      </c>
      <c r="G17" s="17">
        <v>1</v>
      </c>
      <c r="H17" s="2">
        <v>1</v>
      </c>
      <c r="I17" s="31">
        <v>12</v>
      </c>
      <c r="J17" s="4">
        <f t="shared" si="1"/>
        <v>12</v>
      </c>
      <c r="K17" s="2">
        <f t="shared" si="0"/>
        <v>1</v>
      </c>
      <c r="L17" s="57"/>
      <c r="M17" s="57"/>
      <c r="N17" s="57"/>
      <c r="O17" s="56"/>
      <c r="P17" s="90"/>
      <c r="Q17" s="1"/>
    </row>
    <row r="18" spans="1:62" ht="19.5" customHeight="1" x14ac:dyDescent="0.25">
      <c r="A18" s="86"/>
      <c r="B18" s="54"/>
      <c r="C18" s="56"/>
      <c r="D18" s="77"/>
      <c r="E18" s="77"/>
      <c r="F18" s="3" t="s">
        <v>51</v>
      </c>
      <c r="G18" s="28">
        <v>2</v>
      </c>
      <c r="H18" s="28">
        <v>2</v>
      </c>
      <c r="I18" s="34">
        <v>12</v>
      </c>
      <c r="J18" s="4">
        <f t="shared" si="1"/>
        <v>24</v>
      </c>
      <c r="K18" s="2">
        <f t="shared" si="0"/>
        <v>2</v>
      </c>
      <c r="L18" s="57"/>
      <c r="M18" s="57"/>
      <c r="N18" s="57"/>
      <c r="O18" s="56"/>
      <c r="P18" s="90"/>
      <c r="Q18" s="1"/>
    </row>
    <row r="19" spans="1:62" ht="27.75" customHeight="1" thickBot="1" x14ac:dyDescent="0.3">
      <c r="A19" s="86"/>
      <c r="B19" s="53"/>
      <c r="C19" s="66"/>
      <c r="D19" s="76"/>
      <c r="E19" s="76"/>
      <c r="F19" s="3" t="s">
        <v>52</v>
      </c>
      <c r="G19" s="22">
        <v>1</v>
      </c>
      <c r="H19" s="12">
        <v>1</v>
      </c>
      <c r="I19" s="35">
        <v>12</v>
      </c>
      <c r="J19" s="12">
        <f t="shared" si="1"/>
        <v>12</v>
      </c>
      <c r="K19" s="2">
        <f t="shared" si="0"/>
        <v>1</v>
      </c>
      <c r="L19" s="58"/>
      <c r="M19" s="58"/>
      <c r="N19" s="58"/>
      <c r="O19" s="56"/>
      <c r="P19" s="90"/>
      <c r="Q19" s="1"/>
    </row>
    <row r="20" spans="1:62" ht="27" customHeight="1" x14ac:dyDescent="0.25">
      <c r="A20" s="86"/>
      <c r="B20" s="79" t="s">
        <v>58</v>
      </c>
      <c r="C20" s="79" t="s">
        <v>57</v>
      </c>
      <c r="D20" s="80">
        <f>G20+G22+G23+G21</f>
        <v>5</v>
      </c>
      <c r="E20" s="80">
        <f>H20+H22+H23+H21</f>
        <v>5</v>
      </c>
      <c r="F20" s="3" t="s">
        <v>53</v>
      </c>
      <c r="G20" s="21">
        <v>1</v>
      </c>
      <c r="H20" s="4">
        <v>1</v>
      </c>
      <c r="I20" s="36">
        <v>12</v>
      </c>
      <c r="J20" s="4">
        <f t="shared" si="1"/>
        <v>12</v>
      </c>
      <c r="K20" s="2">
        <f t="shared" si="0"/>
        <v>1</v>
      </c>
      <c r="L20" s="69">
        <f>(J20+J21+J22+J23)/E20</f>
        <v>12</v>
      </c>
      <c r="M20" s="69">
        <f>E20*L20</f>
        <v>60</v>
      </c>
      <c r="N20" s="69">
        <f>(L20*D20)/12</f>
        <v>5</v>
      </c>
      <c r="O20" s="56"/>
      <c r="P20" s="90"/>
      <c r="Q20" s="1"/>
    </row>
    <row r="21" spans="1:62" ht="28.5" customHeight="1" x14ac:dyDescent="0.25">
      <c r="A21" s="86"/>
      <c r="B21" s="56"/>
      <c r="C21" s="56"/>
      <c r="D21" s="77"/>
      <c r="E21" s="77"/>
      <c r="F21" s="3" t="s">
        <v>54</v>
      </c>
      <c r="G21" s="17">
        <v>2</v>
      </c>
      <c r="H21" s="2">
        <v>2</v>
      </c>
      <c r="I21" s="37">
        <v>12</v>
      </c>
      <c r="J21" s="4">
        <f t="shared" si="1"/>
        <v>24</v>
      </c>
      <c r="K21" s="2">
        <f t="shared" si="0"/>
        <v>2</v>
      </c>
      <c r="L21" s="57"/>
      <c r="M21" s="57"/>
      <c r="N21" s="57"/>
      <c r="O21" s="56"/>
      <c r="P21" s="90"/>
      <c r="Q21" s="1"/>
    </row>
    <row r="22" spans="1:62" ht="24" x14ac:dyDescent="0.25">
      <c r="A22" s="86"/>
      <c r="B22" s="56"/>
      <c r="C22" s="56"/>
      <c r="D22" s="77"/>
      <c r="E22" s="77"/>
      <c r="F22" s="3" t="s">
        <v>55</v>
      </c>
      <c r="G22" s="28">
        <v>1</v>
      </c>
      <c r="H22" s="6">
        <v>1</v>
      </c>
      <c r="I22" s="38">
        <v>12</v>
      </c>
      <c r="J22" s="6">
        <f t="shared" si="1"/>
        <v>12</v>
      </c>
      <c r="K22" s="2">
        <f t="shared" si="0"/>
        <v>1</v>
      </c>
      <c r="L22" s="57"/>
      <c r="M22" s="57"/>
      <c r="N22" s="57"/>
      <c r="O22" s="56"/>
      <c r="P22" s="90"/>
      <c r="Q22" s="1"/>
    </row>
    <row r="23" spans="1:62" ht="25.5" customHeight="1" thickBot="1" x14ac:dyDescent="0.3">
      <c r="A23" s="86"/>
      <c r="B23" s="54"/>
      <c r="C23" s="54"/>
      <c r="D23" s="60"/>
      <c r="E23" s="60"/>
      <c r="F23" s="9" t="s">
        <v>56</v>
      </c>
      <c r="G23" s="18">
        <v>1</v>
      </c>
      <c r="H23" s="5">
        <v>1</v>
      </c>
      <c r="I23" s="32">
        <v>12</v>
      </c>
      <c r="J23" s="5">
        <f t="shared" si="1"/>
        <v>12</v>
      </c>
      <c r="K23" s="2">
        <f t="shared" si="0"/>
        <v>1</v>
      </c>
      <c r="L23" s="70"/>
      <c r="M23" s="70"/>
      <c r="N23" s="70"/>
      <c r="O23" s="56"/>
      <c r="P23" s="90"/>
      <c r="Q23" s="1"/>
    </row>
    <row r="24" spans="1:62" x14ac:dyDescent="0.25">
      <c r="A24" s="87"/>
      <c r="B24" s="94" t="s">
        <v>60</v>
      </c>
      <c r="C24" s="65" t="s">
        <v>59</v>
      </c>
      <c r="D24" s="84">
        <f>G24+G25</f>
        <v>4</v>
      </c>
      <c r="E24" s="84">
        <f>H24+H25</f>
        <v>4</v>
      </c>
      <c r="F24" s="11" t="s">
        <v>61</v>
      </c>
      <c r="G24" s="19">
        <v>2</v>
      </c>
      <c r="H24" s="10">
        <v>2</v>
      </c>
      <c r="I24" s="33">
        <v>12</v>
      </c>
      <c r="J24" s="10">
        <f t="shared" si="1"/>
        <v>24</v>
      </c>
      <c r="K24" s="2">
        <f t="shared" si="0"/>
        <v>2</v>
      </c>
      <c r="L24" s="68">
        <f>(J24+J25)/E24</f>
        <v>12</v>
      </c>
      <c r="M24" s="68">
        <f>E24*L24</f>
        <v>48</v>
      </c>
      <c r="N24" s="92">
        <f>(L24*D24)/12</f>
        <v>4</v>
      </c>
      <c r="O24" s="55"/>
      <c r="P24" s="90"/>
      <c r="Q24" s="1"/>
    </row>
    <row r="25" spans="1:62" ht="18.75" customHeight="1" thickBot="1" x14ac:dyDescent="0.3">
      <c r="A25" s="87"/>
      <c r="B25" s="95"/>
      <c r="C25" s="66"/>
      <c r="D25" s="61"/>
      <c r="E25" s="61"/>
      <c r="F25" s="14" t="s">
        <v>62</v>
      </c>
      <c r="G25" s="22">
        <v>2</v>
      </c>
      <c r="H25" s="12">
        <v>2</v>
      </c>
      <c r="I25" s="39">
        <v>12</v>
      </c>
      <c r="J25" s="12">
        <f t="shared" si="1"/>
        <v>24</v>
      </c>
      <c r="K25" s="2">
        <f t="shared" si="0"/>
        <v>2</v>
      </c>
      <c r="L25" s="58"/>
      <c r="M25" s="58"/>
      <c r="N25" s="93"/>
      <c r="O25" s="55"/>
      <c r="P25" s="90"/>
      <c r="Q25" s="1"/>
    </row>
    <row r="26" spans="1:62" ht="19.5" customHeight="1" x14ac:dyDescent="0.25">
      <c r="A26" s="86"/>
      <c r="B26" s="56" t="s">
        <v>66</v>
      </c>
      <c r="C26" s="56" t="s">
        <v>63</v>
      </c>
      <c r="D26" s="75">
        <f>G26+G27</f>
        <v>4</v>
      </c>
      <c r="E26" s="75">
        <f>H26+H27</f>
        <v>4</v>
      </c>
      <c r="F26" s="3" t="s">
        <v>65</v>
      </c>
      <c r="G26" s="21">
        <v>2</v>
      </c>
      <c r="H26" s="4">
        <v>2</v>
      </c>
      <c r="I26" s="40">
        <v>12</v>
      </c>
      <c r="J26" s="4">
        <f t="shared" si="1"/>
        <v>24</v>
      </c>
      <c r="K26" s="2">
        <f t="shared" si="0"/>
        <v>2</v>
      </c>
      <c r="L26" s="57">
        <f>(J26+J27)/E26</f>
        <v>12</v>
      </c>
      <c r="M26" s="68">
        <f>E26*L26</f>
        <v>48</v>
      </c>
      <c r="N26" s="92">
        <f>(L26*D26)/12</f>
        <v>4</v>
      </c>
      <c r="O26" s="56"/>
      <c r="P26" s="90"/>
      <c r="Q26" s="1"/>
    </row>
    <row r="27" spans="1:62" ht="15" customHeight="1" thickBot="1" x14ac:dyDescent="0.3">
      <c r="A27" s="86"/>
      <c r="B27" s="56"/>
      <c r="C27" s="56"/>
      <c r="D27" s="76"/>
      <c r="E27" s="76"/>
      <c r="F27" s="8" t="s">
        <v>64</v>
      </c>
      <c r="G27" s="18">
        <v>2</v>
      </c>
      <c r="H27" s="5">
        <v>2</v>
      </c>
      <c r="I27" s="32">
        <v>12</v>
      </c>
      <c r="J27" s="5">
        <f t="shared" si="1"/>
        <v>24</v>
      </c>
      <c r="K27" s="2">
        <f t="shared" si="0"/>
        <v>2</v>
      </c>
      <c r="L27" s="57"/>
      <c r="M27" s="58"/>
      <c r="N27" s="93"/>
      <c r="O27" s="56"/>
      <c r="P27" s="90"/>
      <c r="Q27" s="1"/>
    </row>
    <row r="28" spans="1:62" ht="25.5" customHeight="1" x14ac:dyDescent="0.25">
      <c r="A28" s="87"/>
      <c r="B28" s="94" t="s">
        <v>70</v>
      </c>
      <c r="C28" s="65" t="s">
        <v>67</v>
      </c>
      <c r="D28" s="84">
        <f>G28+G29</f>
        <v>5</v>
      </c>
      <c r="E28" s="84">
        <f>H28+H29</f>
        <v>5</v>
      </c>
      <c r="F28" s="11" t="s">
        <v>104</v>
      </c>
      <c r="G28" s="19">
        <v>3</v>
      </c>
      <c r="H28" s="10">
        <v>3</v>
      </c>
      <c r="I28" s="33">
        <v>12</v>
      </c>
      <c r="J28" s="10">
        <f t="shared" si="1"/>
        <v>36</v>
      </c>
      <c r="K28" s="2">
        <f t="shared" si="0"/>
        <v>3</v>
      </c>
      <c r="L28" s="82">
        <f>(J28+J29)/E28</f>
        <v>12</v>
      </c>
      <c r="M28" s="82">
        <f>E28*L28</f>
        <v>60</v>
      </c>
      <c r="N28" s="92">
        <f>(L28*D28)/12</f>
        <v>5</v>
      </c>
      <c r="O28" s="55"/>
      <c r="P28" s="90"/>
      <c r="Q28" s="1"/>
    </row>
    <row r="29" spans="1:62" s="30" customFormat="1" ht="25.5" customHeight="1" thickBot="1" x14ac:dyDescent="0.3">
      <c r="A29" s="88"/>
      <c r="B29" s="95"/>
      <c r="C29" s="66"/>
      <c r="D29" s="61"/>
      <c r="E29" s="61"/>
      <c r="F29" s="13" t="s">
        <v>69</v>
      </c>
      <c r="G29" s="22">
        <v>2</v>
      </c>
      <c r="H29" s="12">
        <v>2</v>
      </c>
      <c r="I29" s="39">
        <v>12</v>
      </c>
      <c r="J29" s="12">
        <f t="shared" si="1"/>
        <v>24</v>
      </c>
      <c r="K29" s="12">
        <f t="shared" si="0"/>
        <v>2</v>
      </c>
      <c r="L29" s="83"/>
      <c r="M29" s="83"/>
      <c r="N29" s="93"/>
      <c r="O29" s="67"/>
      <c r="P29" s="91"/>
      <c r="Q29" s="1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spans="1:62" ht="15.75" thickTop="1" x14ac:dyDescent="0.25"/>
    <row r="31" spans="1:62" x14ac:dyDescent="0.25">
      <c r="A31" s="43"/>
      <c r="K31" s="45" t="s">
        <v>119</v>
      </c>
    </row>
    <row r="32" spans="1:62" x14ac:dyDescent="0.25">
      <c r="A32" s="43"/>
      <c r="K32" s="45"/>
    </row>
    <row r="33" spans="1:1" x14ac:dyDescent="0.25">
      <c r="A33" s="44" t="s">
        <v>120</v>
      </c>
    </row>
  </sheetData>
  <mergeCells count="67">
    <mergeCell ref="N28:N29"/>
    <mergeCell ref="B28:B29"/>
    <mergeCell ref="C28:C29"/>
    <mergeCell ref="D28:D29"/>
    <mergeCell ref="E28:E29"/>
    <mergeCell ref="L28:L29"/>
    <mergeCell ref="M28:M29"/>
    <mergeCell ref="M26:M27"/>
    <mergeCell ref="N26:N27"/>
    <mergeCell ref="B24:B25"/>
    <mergeCell ref="C24:C25"/>
    <mergeCell ref="D24:D25"/>
    <mergeCell ref="E24:E25"/>
    <mergeCell ref="L24:L25"/>
    <mergeCell ref="B26:B27"/>
    <mergeCell ref="C26:C27"/>
    <mergeCell ref="D26:D27"/>
    <mergeCell ref="E26:E27"/>
    <mergeCell ref="L26:L27"/>
    <mergeCell ref="B20:B23"/>
    <mergeCell ref="C20:C23"/>
    <mergeCell ref="D20:D23"/>
    <mergeCell ref="E20:E23"/>
    <mergeCell ref="L20:L23"/>
    <mergeCell ref="B16:B19"/>
    <mergeCell ref="C16:C19"/>
    <mergeCell ref="D16:D19"/>
    <mergeCell ref="E16:E19"/>
    <mergeCell ref="L16:L19"/>
    <mergeCell ref="M16:M19"/>
    <mergeCell ref="N16:N19"/>
    <mergeCell ref="M20:M23"/>
    <mergeCell ref="N20:N23"/>
    <mergeCell ref="M24:M25"/>
    <mergeCell ref="N24:N25"/>
    <mergeCell ref="P11:P12"/>
    <mergeCell ref="B13:B15"/>
    <mergeCell ref="C13:C15"/>
    <mergeCell ref="D13:D15"/>
    <mergeCell ref="E13:E15"/>
    <mergeCell ref="L13:L15"/>
    <mergeCell ref="M13:M15"/>
    <mergeCell ref="N13:N15"/>
    <mergeCell ref="O13:O29"/>
    <mergeCell ref="H10:H12"/>
    <mergeCell ref="I10:K10"/>
    <mergeCell ref="L10:N10"/>
    <mergeCell ref="O10:P10"/>
    <mergeCell ref="I11:I12"/>
    <mergeCell ref="J11:J12"/>
    <mergeCell ref="P13:P29"/>
    <mergeCell ref="A5:P5"/>
    <mergeCell ref="K11:K12"/>
    <mergeCell ref="L11:L12"/>
    <mergeCell ref="M11:M12"/>
    <mergeCell ref="N11:N12"/>
    <mergeCell ref="A9:A29"/>
    <mergeCell ref="B9:E9"/>
    <mergeCell ref="F9:H9"/>
    <mergeCell ref="I9:P9"/>
    <mergeCell ref="B10:B12"/>
    <mergeCell ref="C10:C12"/>
    <mergeCell ref="D10:D12"/>
    <mergeCell ref="E10:E12"/>
    <mergeCell ref="F10:F12"/>
    <mergeCell ref="G10:G12"/>
    <mergeCell ref="O11:O12"/>
  </mergeCells>
  <phoneticPr fontId="5" type="noConversion"/>
  <pageMargins left="0.7" right="0.7" top="0.75" bottom="0.75" header="0.3" footer="0.3"/>
  <pageSetup paperSize="9" scale="80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5041-9310-4FA3-B05B-9B34C5410344}">
  <dimension ref="A5:Q28"/>
  <sheetViews>
    <sheetView topLeftCell="A9" zoomScaleNormal="100" workbookViewId="0">
      <selection activeCell="A9" sqref="A9:A24"/>
    </sheetView>
  </sheetViews>
  <sheetFormatPr baseColWidth="10" defaultRowHeight="15" x14ac:dyDescent="0.25"/>
  <cols>
    <col min="1" max="1" width="3.42578125" customWidth="1"/>
    <col min="2" max="2" width="9.5703125" customWidth="1"/>
    <col min="3" max="3" width="20" customWidth="1"/>
    <col min="4" max="4" width="6.7109375" customWidth="1"/>
    <col min="5" max="5" width="7.140625" customWidth="1"/>
    <col min="6" max="6" width="19.85546875" customWidth="1"/>
    <col min="8" max="8" width="6.140625" customWidth="1"/>
    <col min="10" max="10" width="7.85546875" customWidth="1"/>
    <col min="12" max="13" width="8.28515625" customWidth="1"/>
    <col min="14" max="14" width="8.42578125" customWidth="1"/>
    <col min="15" max="15" width="9.42578125" customWidth="1"/>
  </cols>
  <sheetData>
    <row r="5" spans="1:17" x14ac:dyDescent="0.25">
      <c r="A5" s="50" t="s">
        <v>115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</row>
    <row r="6" spans="1:17" x14ac:dyDescent="0.25">
      <c r="A6" s="42" t="s">
        <v>117</v>
      </c>
    </row>
    <row r="7" spans="1:17" x14ac:dyDescent="0.25">
      <c r="A7" s="42" t="s">
        <v>116</v>
      </c>
    </row>
    <row r="8" spans="1:17" x14ac:dyDescent="0.25">
      <c r="A8" s="42" t="s">
        <v>118</v>
      </c>
    </row>
    <row r="9" spans="1:17" ht="37.5" customHeight="1" x14ac:dyDescent="0.25">
      <c r="A9" s="85" t="s">
        <v>123</v>
      </c>
      <c r="B9" s="59" t="s">
        <v>1</v>
      </c>
      <c r="C9" s="59"/>
      <c r="D9" s="59"/>
      <c r="E9" s="59"/>
      <c r="F9" s="59" t="s">
        <v>2</v>
      </c>
      <c r="G9" s="59"/>
      <c r="H9" s="59"/>
      <c r="I9" s="59" t="s">
        <v>3</v>
      </c>
      <c r="J9" s="59"/>
      <c r="K9" s="59"/>
      <c r="L9" s="59"/>
      <c r="M9" s="59"/>
      <c r="N9" s="59"/>
      <c r="O9" s="59"/>
      <c r="P9" s="59"/>
      <c r="Q9" s="1"/>
    </row>
    <row r="10" spans="1:17" ht="12" customHeight="1" x14ac:dyDescent="0.25">
      <c r="A10" s="86"/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  <c r="G10" s="53" t="s">
        <v>9</v>
      </c>
      <c r="H10" s="53" t="s">
        <v>7</v>
      </c>
      <c r="I10" s="53" t="s">
        <v>10</v>
      </c>
      <c r="J10" s="53"/>
      <c r="K10" s="53"/>
      <c r="L10" s="53" t="s">
        <v>11</v>
      </c>
      <c r="M10" s="53"/>
      <c r="N10" s="53"/>
      <c r="O10" s="53" t="s">
        <v>0</v>
      </c>
      <c r="P10" s="53"/>
      <c r="Q10" s="1"/>
    </row>
    <row r="11" spans="1:17" ht="12" customHeight="1" x14ac:dyDescent="0.25">
      <c r="A11" s="86"/>
      <c r="B11" s="53"/>
      <c r="C11" s="53"/>
      <c r="D11" s="53"/>
      <c r="E11" s="53"/>
      <c r="F11" s="53"/>
      <c r="G11" s="53"/>
      <c r="H11" s="53"/>
      <c r="I11" s="53" t="s">
        <v>12</v>
      </c>
      <c r="J11" s="53" t="s">
        <v>13</v>
      </c>
      <c r="K11" s="53" t="s">
        <v>14</v>
      </c>
      <c r="L11" s="53" t="s">
        <v>12</v>
      </c>
      <c r="M11" s="53" t="s">
        <v>13</v>
      </c>
      <c r="N11" s="53" t="s">
        <v>14</v>
      </c>
      <c r="O11" s="53" t="s">
        <v>15</v>
      </c>
      <c r="P11" s="53" t="s">
        <v>14</v>
      </c>
      <c r="Q11" s="1"/>
    </row>
    <row r="12" spans="1:17" ht="12" customHeight="1" thickBot="1" x14ac:dyDescent="0.3">
      <c r="A12" s="86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/>
      <c r="O12" s="53"/>
      <c r="P12" s="53"/>
      <c r="Q12" s="1"/>
    </row>
    <row r="13" spans="1:17" ht="12" customHeight="1" thickBot="1" x14ac:dyDescent="0.3">
      <c r="A13" s="86"/>
      <c r="B13" s="53" t="s">
        <v>71</v>
      </c>
      <c r="C13" s="53" t="s">
        <v>110</v>
      </c>
      <c r="D13" s="59">
        <f>G13+G15+G14</f>
        <v>6</v>
      </c>
      <c r="E13" s="59">
        <f>H13+H15+H14</f>
        <v>6</v>
      </c>
      <c r="F13" s="23" t="s">
        <v>72</v>
      </c>
      <c r="G13" s="17">
        <v>2</v>
      </c>
      <c r="H13" s="2">
        <v>2</v>
      </c>
      <c r="I13" s="31">
        <v>12</v>
      </c>
      <c r="J13" s="2">
        <f>H13*I13</f>
        <v>24</v>
      </c>
      <c r="K13" s="2">
        <f>(I13*G13)/12</f>
        <v>2</v>
      </c>
      <c r="L13" s="54">
        <f>(J13+J14+J15)/E13</f>
        <v>12</v>
      </c>
      <c r="M13" s="96">
        <f>L13*E13</f>
        <v>72</v>
      </c>
      <c r="N13" s="98">
        <f>(L13*D13)/12</f>
        <v>6</v>
      </c>
      <c r="O13" s="99">
        <f>(M13+M16+M19+M21+M23)/30</f>
        <v>12</v>
      </c>
      <c r="P13" s="54">
        <f>(O13*30)/12</f>
        <v>30</v>
      </c>
      <c r="Q13" s="1"/>
    </row>
    <row r="14" spans="1:17" ht="12" customHeight="1" thickBot="1" x14ac:dyDescent="0.3">
      <c r="A14" s="86"/>
      <c r="B14" s="54"/>
      <c r="C14" s="54"/>
      <c r="D14" s="60"/>
      <c r="E14" s="60"/>
      <c r="F14" s="24" t="s">
        <v>73</v>
      </c>
      <c r="G14" s="18">
        <v>2</v>
      </c>
      <c r="H14" s="5">
        <v>2</v>
      </c>
      <c r="I14" s="32">
        <v>12</v>
      </c>
      <c r="J14" s="2">
        <f>H14*I14</f>
        <v>24</v>
      </c>
      <c r="K14" s="2">
        <f t="shared" ref="K14:K24" si="0">(I14*G14)/12</f>
        <v>2</v>
      </c>
      <c r="L14" s="56"/>
      <c r="M14" s="97"/>
      <c r="N14" s="98"/>
      <c r="O14" s="100"/>
      <c r="P14" s="56"/>
      <c r="Q14" s="1"/>
    </row>
    <row r="15" spans="1:17" ht="12" customHeight="1" thickBot="1" x14ac:dyDescent="0.3">
      <c r="A15" s="86"/>
      <c r="B15" s="54"/>
      <c r="C15" s="54"/>
      <c r="D15" s="60"/>
      <c r="E15" s="61"/>
      <c r="F15" s="25" t="s">
        <v>74</v>
      </c>
      <c r="G15" s="18">
        <v>2</v>
      </c>
      <c r="H15" s="5">
        <v>2</v>
      </c>
      <c r="I15" s="32">
        <v>12</v>
      </c>
      <c r="J15" s="12">
        <f t="shared" ref="J15:J24" si="1">H15*I15</f>
        <v>24</v>
      </c>
      <c r="K15" s="12">
        <f t="shared" si="0"/>
        <v>2</v>
      </c>
      <c r="L15" s="62"/>
      <c r="M15" s="97"/>
      <c r="N15" s="98"/>
      <c r="O15" s="100"/>
      <c r="P15" s="56"/>
      <c r="Q15" s="1"/>
    </row>
    <row r="16" spans="1:17" ht="12" customHeight="1" thickBot="1" x14ac:dyDescent="0.3">
      <c r="A16" s="86"/>
      <c r="B16" s="53" t="s">
        <v>78</v>
      </c>
      <c r="C16" s="102" t="s">
        <v>112</v>
      </c>
      <c r="D16" s="75">
        <f>G16+G17+G18</f>
        <v>6</v>
      </c>
      <c r="E16" s="77">
        <f>H16+H17+H18</f>
        <v>6</v>
      </c>
      <c r="F16" s="26" t="s">
        <v>75</v>
      </c>
      <c r="G16" s="19">
        <v>2</v>
      </c>
      <c r="H16" s="10">
        <v>2</v>
      </c>
      <c r="I16" s="33">
        <v>12</v>
      </c>
      <c r="J16" s="4">
        <f t="shared" si="1"/>
        <v>24</v>
      </c>
      <c r="K16" s="4">
        <f t="shared" si="0"/>
        <v>2</v>
      </c>
      <c r="L16" s="56">
        <f>(J16+J17+J18)/E16</f>
        <v>12</v>
      </c>
      <c r="M16" s="105">
        <f>E16*L16</f>
        <v>72</v>
      </c>
      <c r="N16" s="98">
        <f>(L16*D16)/12</f>
        <v>6</v>
      </c>
      <c r="O16" s="100"/>
      <c r="P16" s="56"/>
      <c r="Q16" s="1"/>
    </row>
    <row r="17" spans="1:17" ht="12" customHeight="1" thickBot="1" x14ac:dyDescent="0.3">
      <c r="A17" s="86"/>
      <c r="B17" s="54"/>
      <c r="C17" s="103"/>
      <c r="D17" s="77"/>
      <c r="E17" s="77"/>
      <c r="F17" s="23" t="s">
        <v>76</v>
      </c>
      <c r="G17" s="17">
        <v>2</v>
      </c>
      <c r="H17" s="2">
        <v>2</v>
      </c>
      <c r="I17" s="31">
        <v>12</v>
      </c>
      <c r="J17" s="4">
        <f t="shared" si="1"/>
        <v>24</v>
      </c>
      <c r="K17" s="2">
        <f t="shared" si="0"/>
        <v>2</v>
      </c>
      <c r="L17" s="56"/>
      <c r="M17" s="106"/>
      <c r="N17" s="98"/>
      <c r="O17" s="100"/>
      <c r="P17" s="56"/>
      <c r="Q17" s="1"/>
    </row>
    <row r="18" spans="1:17" ht="12" customHeight="1" thickBot="1" x14ac:dyDescent="0.3">
      <c r="A18" s="86"/>
      <c r="B18" s="66"/>
      <c r="C18" s="104"/>
      <c r="D18" s="76"/>
      <c r="E18" s="76"/>
      <c r="F18" s="27" t="s">
        <v>77</v>
      </c>
      <c r="G18" s="20">
        <v>2</v>
      </c>
      <c r="H18" s="16">
        <v>2</v>
      </c>
      <c r="I18" s="41">
        <v>12</v>
      </c>
      <c r="J18" s="12">
        <f t="shared" si="1"/>
        <v>24</v>
      </c>
      <c r="K18" s="12">
        <f t="shared" si="0"/>
        <v>2</v>
      </c>
      <c r="L18" s="62"/>
      <c r="M18" s="107"/>
      <c r="N18" s="98"/>
      <c r="O18" s="100"/>
      <c r="P18" s="56"/>
      <c r="Q18" s="1"/>
    </row>
    <row r="19" spans="1:17" ht="12" customHeight="1" thickBot="1" x14ac:dyDescent="0.3">
      <c r="A19" s="86"/>
      <c r="B19" s="79" t="s">
        <v>81</v>
      </c>
      <c r="C19" s="79" t="s">
        <v>111</v>
      </c>
      <c r="D19" s="80">
        <f>G19+G20</f>
        <v>6</v>
      </c>
      <c r="E19" s="80">
        <f>H19+H20</f>
        <v>6</v>
      </c>
      <c r="F19" s="23" t="s">
        <v>102</v>
      </c>
      <c r="G19" s="21">
        <v>3</v>
      </c>
      <c r="H19" s="4">
        <v>3</v>
      </c>
      <c r="I19" s="36">
        <v>12</v>
      </c>
      <c r="J19" s="4">
        <f t="shared" si="1"/>
        <v>36</v>
      </c>
      <c r="K19" s="4">
        <f t="shared" si="0"/>
        <v>3</v>
      </c>
      <c r="L19" s="69">
        <f>(J19+J20)/E19</f>
        <v>12</v>
      </c>
      <c r="M19" s="110">
        <f>E19*L19</f>
        <v>72</v>
      </c>
      <c r="N19" s="109">
        <f>(L19*D19)/12</f>
        <v>6</v>
      </c>
      <c r="O19" s="100"/>
      <c r="P19" s="56"/>
      <c r="Q19" s="1"/>
    </row>
    <row r="20" spans="1:17" ht="15" customHeight="1" thickBot="1" x14ac:dyDescent="0.3">
      <c r="A20" s="86"/>
      <c r="B20" s="56"/>
      <c r="C20" s="56"/>
      <c r="D20" s="77"/>
      <c r="E20" s="77"/>
      <c r="F20" s="23" t="s">
        <v>103</v>
      </c>
      <c r="G20" s="17">
        <v>3</v>
      </c>
      <c r="H20" s="2">
        <v>3</v>
      </c>
      <c r="I20" s="37">
        <v>12</v>
      </c>
      <c r="J20" s="12">
        <f t="shared" si="1"/>
        <v>36</v>
      </c>
      <c r="K20" s="12">
        <f t="shared" si="0"/>
        <v>3</v>
      </c>
      <c r="L20" s="57"/>
      <c r="M20" s="106"/>
      <c r="N20" s="109"/>
      <c r="O20" s="100"/>
      <c r="P20" s="56"/>
      <c r="Q20" s="1"/>
    </row>
    <row r="21" spans="1:17" ht="12" customHeight="1" thickBot="1" x14ac:dyDescent="0.3">
      <c r="A21" s="87"/>
      <c r="B21" s="94" t="s">
        <v>84</v>
      </c>
      <c r="C21" s="102" t="s">
        <v>83</v>
      </c>
      <c r="D21" s="84">
        <f>G21+G22</f>
        <v>6</v>
      </c>
      <c r="E21" s="84">
        <f>H21+H22</f>
        <v>6</v>
      </c>
      <c r="F21" s="26" t="s">
        <v>79</v>
      </c>
      <c r="G21" s="19">
        <v>3</v>
      </c>
      <c r="H21" s="10">
        <v>3</v>
      </c>
      <c r="I21" s="33">
        <v>12</v>
      </c>
      <c r="J21" s="4">
        <f t="shared" si="1"/>
        <v>36</v>
      </c>
      <c r="K21" s="4">
        <f t="shared" si="0"/>
        <v>3</v>
      </c>
      <c r="L21" s="68">
        <f>(J21+J22)/E21</f>
        <v>12</v>
      </c>
      <c r="M21" s="105">
        <f>E21*L21</f>
        <v>72</v>
      </c>
      <c r="N21" s="109">
        <f>(L21*D21)/12</f>
        <v>6</v>
      </c>
      <c r="O21" s="100"/>
      <c r="P21" s="56"/>
      <c r="Q21" s="1"/>
    </row>
    <row r="22" spans="1:17" ht="12" customHeight="1" thickBot="1" x14ac:dyDescent="0.3">
      <c r="A22" s="87"/>
      <c r="B22" s="95"/>
      <c r="C22" s="108"/>
      <c r="D22" s="61"/>
      <c r="E22" s="61"/>
      <c r="F22" s="27" t="s">
        <v>80</v>
      </c>
      <c r="G22" s="22">
        <v>3</v>
      </c>
      <c r="H22" s="12">
        <v>3</v>
      </c>
      <c r="I22" s="39">
        <v>12</v>
      </c>
      <c r="J22" s="12">
        <f t="shared" si="1"/>
        <v>36</v>
      </c>
      <c r="K22" s="12">
        <f t="shared" si="0"/>
        <v>3</v>
      </c>
      <c r="L22" s="58"/>
      <c r="M22" s="107"/>
      <c r="N22" s="109"/>
      <c r="O22" s="100"/>
      <c r="P22" s="56"/>
      <c r="Q22" s="1"/>
    </row>
    <row r="23" spans="1:17" ht="24.75" customHeight="1" thickBot="1" x14ac:dyDescent="0.3">
      <c r="A23" s="87"/>
      <c r="B23" s="112" t="s">
        <v>85</v>
      </c>
      <c r="C23" s="111" t="s">
        <v>82</v>
      </c>
      <c r="D23" s="75">
        <v>6</v>
      </c>
      <c r="E23" s="75">
        <v>6</v>
      </c>
      <c r="F23" s="26" t="s">
        <v>109</v>
      </c>
      <c r="G23" s="19">
        <v>3</v>
      </c>
      <c r="H23" s="10">
        <v>3</v>
      </c>
      <c r="I23" s="33">
        <v>12</v>
      </c>
      <c r="J23" s="4">
        <f t="shared" si="1"/>
        <v>36</v>
      </c>
      <c r="K23" s="4">
        <f t="shared" si="0"/>
        <v>3</v>
      </c>
      <c r="L23" s="68">
        <f>(J23+J24)/E23</f>
        <v>12</v>
      </c>
      <c r="M23" s="105">
        <f>L23*E23</f>
        <v>72</v>
      </c>
      <c r="N23" s="109">
        <f>(L23*D23)/12</f>
        <v>6</v>
      </c>
      <c r="O23" s="100"/>
      <c r="P23" s="56"/>
      <c r="Q23" s="1"/>
    </row>
    <row r="24" spans="1:17" ht="17.25" customHeight="1" thickBot="1" x14ac:dyDescent="0.3">
      <c r="A24" s="87"/>
      <c r="B24" s="101"/>
      <c r="C24" s="104"/>
      <c r="D24" s="76"/>
      <c r="E24" s="76"/>
      <c r="F24" s="23" t="s">
        <v>68</v>
      </c>
      <c r="G24" s="21">
        <v>3</v>
      </c>
      <c r="H24" s="4">
        <v>3</v>
      </c>
      <c r="I24" s="40">
        <v>12</v>
      </c>
      <c r="J24" s="4">
        <f t="shared" si="1"/>
        <v>36</v>
      </c>
      <c r="K24" s="2">
        <f t="shared" si="0"/>
        <v>3</v>
      </c>
      <c r="L24" s="58"/>
      <c r="M24" s="107"/>
      <c r="N24" s="109"/>
      <c r="O24" s="101"/>
      <c r="P24" s="62"/>
      <c r="Q24" s="1"/>
    </row>
    <row r="25" spans="1:17" x14ac:dyDescent="0.2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7" x14ac:dyDescent="0.25">
      <c r="B26" s="43"/>
      <c r="L26" s="45" t="s">
        <v>119</v>
      </c>
    </row>
    <row r="27" spans="1:17" x14ac:dyDescent="0.25">
      <c r="B27" s="43"/>
      <c r="L27" s="45"/>
    </row>
    <row r="28" spans="1:17" x14ac:dyDescent="0.25">
      <c r="B28" s="44" t="s">
        <v>120</v>
      </c>
    </row>
  </sheetData>
  <mergeCells count="60">
    <mergeCell ref="N23:N24"/>
    <mergeCell ref="C23:C24"/>
    <mergeCell ref="L23:L24"/>
    <mergeCell ref="M23:M24"/>
    <mergeCell ref="B23:B24"/>
    <mergeCell ref="D23:D24"/>
    <mergeCell ref="N21:N22"/>
    <mergeCell ref="D19:D20"/>
    <mergeCell ref="E19:E20"/>
    <mergeCell ref="L19:L20"/>
    <mergeCell ref="M19:M20"/>
    <mergeCell ref="N19:N20"/>
    <mergeCell ref="P13:P24"/>
    <mergeCell ref="B16:B18"/>
    <mergeCell ref="C16:C18"/>
    <mergeCell ref="D16:D18"/>
    <mergeCell ref="E16:E18"/>
    <mergeCell ref="L16:L18"/>
    <mergeCell ref="M16:M18"/>
    <mergeCell ref="N16:N18"/>
    <mergeCell ref="B19:B20"/>
    <mergeCell ref="C19:C20"/>
    <mergeCell ref="B21:B22"/>
    <mergeCell ref="C21:C22"/>
    <mergeCell ref="D21:D22"/>
    <mergeCell ref="E21:E22"/>
    <mergeCell ref="L21:L22"/>
    <mergeCell ref="M21:M22"/>
    <mergeCell ref="O11:O12"/>
    <mergeCell ref="P11:P12"/>
    <mergeCell ref="B13:B15"/>
    <mergeCell ref="C13:C15"/>
    <mergeCell ref="D13:D15"/>
    <mergeCell ref="E13:E15"/>
    <mergeCell ref="L13:L15"/>
    <mergeCell ref="M13:M15"/>
    <mergeCell ref="N13:N15"/>
    <mergeCell ref="O13:O24"/>
    <mergeCell ref="H10:H12"/>
    <mergeCell ref="I10:K10"/>
    <mergeCell ref="L10:N10"/>
    <mergeCell ref="O10:P10"/>
    <mergeCell ref="I11:I12"/>
    <mergeCell ref="J11:J12"/>
    <mergeCell ref="A5:P5"/>
    <mergeCell ref="K11:K12"/>
    <mergeCell ref="L11:L12"/>
    <mergeCell ref="M11:M12"/>
    <mergeCell ref="N11:N12"/>
    <mergeCell ref="A9:A24"/>
    <mergeCell ref="B9:E9"/>
    <mergeCell ref="F9:H9"/>
    <mergeCell ref="I9:P9"/>
    <mergeCell ref="B10:B12"/>
    <mergeCell ref="C10:C12"/>
    <mergeCell ref="D10:D12"/>
    <mergeCell ref="E10:E12"/>
    <mergeCell ref="F10:F12"/>
    <mergeCell ref="G10:G12"/>
    <mergeCell ref="E23:E24"/>
  </mergeCells>
  <pageMargins left="0.7" right="0.7" top="0.75" bottom="0.75" header="0.3" footer="0.3"/>
  <pageSetup paperSize="9" scale="80" orientation="landscape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DD74-7154-43C2-B743-8B1C25A5D104}">
  <dimension ref="A5:Q28"/>
  <sheetViews>
    <sheetView topLeftCell="A6" zoomScaleNormal="100" workbookViewId="0">
      <selection activeCell="A9" sqref="A9:A24"/>
    </sheetView>
  </sheetViews>
  <sheetFormatPr baseColWidth="10" defaultRowHeight="15" x14ac:dyDescent="0.25"/>
  <cols>
    <col min="1" max="1" width="3.42578125" customWidth="1"/>
    <col min="2" max="2" width="10.5703125" customWidth="1"/>
    <col min="3" max="3" width="18.42578125" customWidth="1"/>
    <col min="4" max="4" width="6.7109375" customWidth="1"/>
    <col min="5" max="5" width="7.140625" customWidth="1"/>
    <col min="6" max="6" width="19.85546875" customWidth="1"/>
    <col min="8" max="8" width="6.140625" customWidth="1"/>
    <col min="10" max="10" width="7.85546875" customWidth="1"/>
    <col min="12" max="13" width="8.28515625" customWidth="1"/>
    <col min="14" max="14" width="8.42578125" customWidth="1"/>
    <col min="15" max="15" width="9.42578125" customWidth="1"/>
  </cols>
  <sheetData>
    <row r="5" spans="1:17" x14ac:dyDescent="0.25">
      <c r="A5" s="50" t="s">
        <v>115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</row>
    <row r="6" spans="1:17" x14ac:dyDescent="0.25">
      <c r="A6" s="42" t="s">
        <v>117</v>
      </c>
    </row>
    <row r="7" spans="1:17" x14ac:dyDescent="0.25">
      <c r="A7" s="42" t="s">
        <v>116</v>
      </c>
    </row>
    <row r="8" spans="1:17" x14ac:dyDescent="0.25">
      <c r="A8" s="42" t="s">
        <v>118</v>
      </c>
    </row>
    <row r="9" spans="1:17" ht="28.5" customHeight="1" x14ac:dyDescent="0.25">
      <c r="A9" s="85" t="s">
        <v>124</v>
      </c>
      <c r="B9" s="59" t="s">
        <v>1</v>
      </c>
      <c r="C9" s="59"/>
      <c r="D9" s="59"/>
      <c r="E9" s="59"/>
      <c r="F9" s="59" t="s">
        <v>2</v>
      </c>
      <c r="G9" s="59"/>
      <c r="H9" s="59"/>
      <c r="I9" s="59" t="s">
        <v>3</v>
      </c>
      <c r="J9" s="59"/>
      <c r="K9" s="59"/>
      <c r="L9" s="59"/>
      <c r="M9" s="59"/>
      <c r="N9" s="59"/>
      <c r="O9" s="59"/>
      <c r="P9" s="59"/>
      <c r="Q9" s="1"/>
    </row>
    <row r="10" spans="1:17" ht="18" customHeight="1" x14ac:dyDescent="0.25">
      <c r="A10" s="86"/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  <c r="G10" s="53" t="s">
        <v>9</v>
      </c>
      <c r="H10" s="53" t="s">
        <v>7</v>
      </c>
      <c r="I10" s="53" t="s">
        <v>10</v>
      </c>
      <c r="J10" s="53"/>
      <c r="K10" s="53"/>
      <c r="L10" s="53" t="s">
        <v>11</v>
      </c>
      <c r="M10" s="53"/>
      <c r="N10" s="53"/>
      <c r="O10" s="53" t="s">
        <v>0</v>
      </c>
      <c r="P10" s="53"/>
      <c r="Q10" s="1"/>
    </row>
    <row r="11" spans="1:17" ht="18" customHeight="1" x14ac:dyDescent="0.25">
      <c r="A11" s="86"/>
      <c r="B11" s="53"/>
      <c r="C11" s="53"/>
      <c r="D11" s="53"/>
      <c r="E11" s="53"/>
      <c r="F11" s="53"/>
      <c r="G11" s="53"/>
      <c r="H11" s="53"/>
      <c r="I11" s="53" t="s">
        <v>12</v>
      </c>
      <c r="J11" s="53" t="s">
        <v>13</v>
      </c>
      <c r="K11" s="53" t="s">
        <v>14</v>
      </c>
      <c r="L11" s="53" t="s">
        <v>12</v>
      </c>
      <c r="M11" s="53" t="s">
        <v>13</v>
      </c>
      <c r="N11" s="53" t="s">
        <v>14</v>
      </c>
      <c r="O11" s="53" t="s">
        <v>15</v>
      </c>
      <c r="P11" s="53" t="s">
        <v>14</v>
      </c>
      <c r="Q11" s="1"/>
    </row>
    <row r="12" spans="1:17" ht="18" customHeight="1" x14ac:dyDescent="0.25">
      <c r="A12" s="86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1"/>
    </row>
    <row r="13" spans="1:17" ht="18" customHeight="1" x14ac:dyDescent="0.25">
      <c r="A13" s="86"/>
      <c r="B13" s="53" t="s">
        <v>90</v>
      </c>
      <c r="C13" s="53" t="s">
        <v>89</v>
      </c>
      <c r="D13" s="59">
        <f>G13+G15+G14</f>
        <v>6</v>
      </c>
      <c r="E13" s="59">
        <f>H13+H15+H14</f>
        <v>6</v>
      </c>
      <c r="F13" s="23" t="s">
        <v>108</v>
      </c>
      <c r="G13" s="17">
        <v>2</v>
      </c>
      <c r="H13" s="2">
        <v>2</v>
      </c>
      <c r="I13" s="31">
        <v>12</v>
      </c>
      <c r="J13" s="2">
        <f>H13*I13</f>
        <v>24</v>
      </c>
      <c r="K13" s="2">
        <f>(I13*G13)/12</f>
        <v>2</v>
      </c>
      <c r="L13" s="54">
        <f>(J13+J14+J15)/E13</f>
        <v>12</v>
      </c>
      <c r="M13" s="54">
        <f>L13*E13</f>
        <v>72</v>
      </c>
      <c r="N13" s="54">
        <f>(L13*D13)/12</f>
        <v>6</v>
      </c>
      <c r="O13" s="54">
        <f>(M13+M16+M19+M21+M23)/30</f>
        <v>12</v>
      </c>
      <c r="P13" s="54">
        <f>(O13*30)/12</f>
        <v>30</v>
      </c>
      <c r="Q13" s="1"/>
    </row>
    <row r="14" spans="1:17" ht="18" customHeight="1" x14ac:dyDescent="0.25">
      <c r="A14" s="86"/>
      <c r="B14" s="54"/>
      <c r="C14" s="54"/>
      <c r="D14" s="60"/>
      <c r="E14" s="60"/>
      <c r="F14" s="24" t="s">
        <v>107</v>
      </c>
      <c r="G14" s="18">
        <v>2</v>
      </c>
      <c r="H14" s="5">
        <v>2</v>
      </c>
      <c r="I14" s="32">
        <v>12</v>
      </c>
      <c r="J14" s="2">
        <f>H14*I14</f>
        <v>24</v>
      </c>
      <c r="K14" s="2">
        <f t="shared" ref="K14:K24" si="0">(I14*G14)/12</f>
        <v>2</v>
      </c>
      <c r="L14" s="56"/>
      <c r="M14" s="56"/>
      <c r="N14" s="56"/>
      <c r="O14" s="56"/>
      <c r="P14" s="56"/>
      <c r="Q14" s="1"/>
    </row>
    <row r="15" spans="1:17" ht="18" customHeight="1" thickBot="1" x14ac:dyDescent="0.3">
      <c r="A15" s="86"/>
      <c r="B15" s="54"/>
      <c r="C15" s="54"/>
      <c r="D15" s="60"/>
      <c r="E15" s="61"/>
      <c r="F15" s="25" t="s">
        <v>106</v>
      </c>
      <c r="G15" s="18">
        <v>2</v>
      </c>
      <c r="H15" s="5">
        <v>2</v>
      </c>
      <c r="I15" s="32">
        <v>12</v>
      </c>
      <c r="J15" s="12">
        <f t="shared" ref="J15:J24" si="1">H15*I15</f>
        <v>24</v>
      </c>
      <c r="K15" s="12">
        <f t="shared" si="0"/>
        <v>2</v>
      </c>
      <c r="L15" s="62"/>
      <c r="M15" s="62"/>
      <c r="N15" s="62"/>
      <c r="O15" s="56"/>
      <c r="P15" s="56"/>
      <c r="Q15" s="1"/>
    </row>
    <row r="16" spans="1:17" ht="18" customHeight="1" x14ac:dyDescent="0.25">
      <c r="A16" s="86"/>
      <c r="B16" s="53" t="s">
        <v>92</v>
      </c>
      <c r="C16" s="65" t="s">
        <v>91</v>
      </c>
      <c r="D16" s="75">
        <f>G16+G17+G18</f>
        <v>6</v>
      </c>
      <c r="E16" s="77">
        <f>H16+H17+H18</f>
        <v>6</v>
      </c>
      <c r="F16" s="26" t="s">
        <v>86</v>
      </c>
      <c r="G16" s="19">
        <v>2</v>
      </c>
      <c r="H16" s="10">
        <v>2</v>
      </c>
      <c r="I16" s="33">
        <v>12</v>
      </c>
      <c r="J16" s="4">
        <f t="shared" si="1"/>
        <v>24</v>
      </c>
      <c r="K16" s="4">
        <f t="shared" si="0"/>
        <v>2</v>
      </c>
      <c r="L16" s="56">
        <f>(J16+J17+J18)/E16</f>
        <v>12</v>
      </c>
      <c r="M16" s="57">
        <f>E16*L16</f>
        <v>72</v>
      </c>
      <c r="N16" s="56">
        <f>(L16*D16)/12</f>
        <v>6</v>
      </c>
      <c r="O16" s="56"/>
      <c r="P16" s="56"/>
      <c r="Q16" s="1"/>
    </row>
    <row r="17" spans="1:17" ht="18" customHeight="1" x14ac:dyDescent="0.25">
      <c r="A17" s="86"/>
      <c r="B17" s="54"/>
      <c r="C17" s="56"/>
      <c r="D17" s="77"/>
      <c r="E17" s="77"/>
      <c r="F17" s="23" t="s">
        <v>87</v>
      </c>
      <c r="G17" s="17">
        <v>2</v>
      </c>
      <c r="H17" s="2">
        <v>2</v>
      </c>
      <c r="I17" s="31">
        <v>12</v>
      </c>
      <c r="J17" s="4">
        <f t="shared" si="1"/>
        <v>24</v>
      </c>
      <c r="K17" s="2">
        <f t="shared" si="0"/>
        <v>2</v>
      </c>
      <c r="L17" s="56"/>
      <c r="M17" s="57"/>
      <c r="N17" s="56"/>
      <c r="O17" s="56"/>
      <c r="P17" s="56"/>
      <c r="Q17" s="1"/>
    </row>
    <row r="18" spans="1:17" ht="18" customHeight="1" thickBot="1" x14ac:dyDescent="0.3">
      <c r="A18" s="86"/>
      <c r="B18" s="66"/>
      <c r="C18" s="62"/>
      <c r="D18" s="76"/>
      <c r="E18" s="76"/>
      <c r="F18" s="27" t="s">
        <v>88</v>
      </c>
      <c r="G18" s="20">
        <v>2</v>
      </c>
      <c r="H18" s="16">
        <v>2</v>
      </c>
      <c r="I18" s="41">
        <v>12</v>
      </c>
      <c r="J18" s="12">
        <f t="shared" si="1"/>
        <v>24</v>
      </c>
      <c r="K18" s="12">
        <f t="shared" si="0"/>
        <v>2</v>
      </c>
      <c r="L18" s="62"/>
      <c r="M18" s="58"/>
      <c r="N18" s="62"/>
      <c r="O18" s="56"/>
      <c r="P18" s="56"/>
      <c r="Q18" s="1"/>
    </row>
    <row r="19" spans="1:17" ht="18" customHeight="1" x14ac:dyDescent="0.25">
      <c r="A19" s="86"/>
      <c r="B19" s="79" t="s">
        <v>96</v>
      </c>
      <c r="C19" s="79" t="s">
        <v>95</v>
      </c>
      <c r="D19" s="80">
        <f>G19+G20</f>
        <v>6</v>
      </c>
      <c r="E19" s="80">
        <f>H19+H20</f>
        <v>6</v>
      </c>
      <c r="F19" s="23" t="s">
        <v>93</v>
      </c>
      <c r="G19" s="21">
        <v>3</v>
      </c>
      <c r="H19" s="4">
        <v>3</v>
      </c>
      <c r="I19" s="36">
        <v>12</v>
      </c>
      <c r="J19" s="4">
        <f t="shared" si="1"/>
        <v>36</v>
      </c>
      <c r="K19" s="4">
        <f t="shared" si="0"/>
        <v>3</v>
      </c>
      <c r="L19" s="69">
        <f>(J19+J20)/E19</f>
        <v>12</v>
      </c>
      <c r="M19" s="69">
        <f>E19*L19</f>
        <v>72</v>
      </c>
      <c r="N19" s="69">
        <f>(L19*D19)/12</f>
        <v>6</v>
      </c>
      <c r="O19" s="56"/>
      <c r="P19" s="56"/>
      <c r="Q19" s="1"/>
    </row>
    <row r="20" spans="1:17" ht="18" customHeight="1" thickBot="1" x14ac:dyDescent="0.3">
      <c r="A20" s="86"/>
      <c r="B20" s="56"/>
      <c r="C20" s="56"/>
      <c r="D20" s="77"/>
      <c r="E20" s="77"/>
      <c r="F20" s="23" t="s">
        <v>94</v>
      </c>
      <c r="G20" s="17">
        <v>3</v>
      </c>
      <c r="H20" s="2">
        <v>3</v>
      </c>
      <c r="I20" s="37">
        <v>12</v>
      </c>
      <c r="J20" s="4">
        <f t="shared" si="1"/>
        <v>36</v>
      </c>
      <c r="K20" s="12">
        <f t="shared" si="0"/>
        <v>3</v>
      </c>
      <c r="L20" s="58"/>
      <c r="M20" s="58"/>
      <c r="N20" s="58"/>
      <c r="O20" s="56"/>
      <c r="P20" s="56"/>
      <c r="Q20" s="1"/>
    </row>
    <row r="21" spans="1:17" ht="18" customHeight="1" x14ac:dyDescent="0.25">
      <c r="A21" s="87"/>
      <c r="B21" s="94" t="s">
        <v>99</v>
      </c>
      <c r="C21" s="65" t="s">
        <v>98</v>
      </c>
      <c r="D21" s="84">
        <f>G21+G22</f>
        <v>6</v>
      </c>
      <c r="E21" s="84">
        <f>H21+H22</f>
        <v>6</v>
      </c>
      <c r="F21" s="26" t="s">
        <v>105</v>
      </c>
      <c r="G21" s="19">
        <v>3</v>
      </c>
      <c r="H21" s="10">
        <v>3</v>
      </c>
      <c r="I21" s="33">
        <v>12</v>
      </c>
      <c r="J21" s="10">
        <f t="shared" si="1"/>
        <v>36</v>
      </c>
      <c r="K21" s="4">
        <f t="shared" si="0"/>
        <v>3</v>
      </c>
      <c r="L21" s="69">
        <f>(J21+J22)/E21</f>
        <v>12</v>
      </c>
      <c r="M21" s="57">
        <f>E21*L21</f>
        <v>72</v>
      </c>
      <c r="N21" s="69">
        <f>(L21*D21)/12</f>
        <v>6</v>
      </c>
      <c r="O21" s="55"/>
      <c r="P21" s="56"/>
      <c r="Q21" s="1"/>
    </row>
    <row r="22" spans="1:17" ht="18" customHeight="1" thickBot="1" x14ac:dyDescent="0.3">
      <c r="A22" s="87"/>
      <c r="B22" s="95"/>
      <c r="C22" s="66"/>
      <c r="D22" s="61"/>
      <c r="E22" s="61"/>
      <c r="F22" s="27" t="s">
        <v>97</v>
      </c>
      <c r="G22" s="22">
        <v>3</v>
      </c>
      <c r="H22" s="12">
        <v>3</v>
      </c>
      <c r="I22" s="39">
        <v>12</v>
      </c>
      <c r="J22" s="12">
        <f t="shared" si="1"/>
        <v>36</v>
      </c>
      <c r="K22" s="12">
        <f t="shared" si="0"/>
        <v>3</v>
      </c>
      <c r="L22" s="58"/>
      <c r="M22" s="58"/>
      <c r="N22" s="58"/>
      <c r="O22" s="55"/>
      <c r="P22" s="56"/>
      <c r="Q22" s="1"/>
    </row>
    <row r="23" spans="1:17" ht="25.5" customHeight="1" x14ac:dyDescent="0.25">
      <c r="A23" s="87"/>
      <c r="B23" s="94" t="s">
        <v>101</v>
      </c>
      <c r="C23" s="65" t="s">
        <v>100</v>
      </c>
      <c r="D23" s="84">
        <f>G23+G24</f>
        <v>6</v>
      </c>
      <c r="E23" s="84">
        <f>H23+H24</f>
        <v>6</v>
      </c>
      <c r="F23" s="26" t="s">
        <v>113</v>
      </c>
      <c r="G23" s="19">
        <v>3</v>
      </c>
      <c r="H23" s="10">
        <v>3</v>
      </c>
      <c r="I23" s="33">
        <v>12</v>
      </c>
      <c r="J23" s="10">
        <f t="shared" si="1"/>
        <v>36</v>
      </c>
      <c r="K23" s="4">
        <f t="shared" si="0"/>
        <v>3</v>
      </c>
      <c r="L23" s="69">
        <f>(J23+J24)/E23</f>
        <v>12</v>
      </c>
      <c r="M23" s="69">
        <f>E23*L23</f>
        <v>72</v>
      </c>
      <c r="N23" s="69">
        <f>(L23*D23)/12</f>
        <v>6</v>
      </c>
      <c r="O23" s="55"/>
      <c r="P23" s="56"/>
      <c r="Q23" s="1"/>
    </row>
    <row r="24" spans="1:17" ht="21.75" customHeight="1" thickBot="1" x14ac:dyDescent="0.3">
      <c r="A24" s="88"/>
      <c r="B24" s="95"/>
      <c r="C24" s="66"/>
      <c r="D24" s="61"/>
      <c r="E24" s="61"/>
      <c r="F24" s="29" t="s">
        <v>114</v>
      </c>
      <c r="G24" s="22">
        <v>3</v>
      </c>
      <c r="H24" s="12">
        <v>3</v>
      </c>
      <c r="I24" s="39">
        <v>12</v>
      </c>
      <c r="J24" s="12">
        <f t="shared" si="1"/>
        <v>36</v>
      </c>
      <c r="K24" s="2">
        <f t="shared" si="0"/>
        <v>3</v>
      </c>
      <c r="L24" s="57"/>
      <c r="M24" s="83"/>
      <c r="N24" s="57"/>
      <c r="O24" s="67"/>
      <c r="P24" s="62"/>
      <c r="Q24" s="1"/>
    </row>
    <row r="25" spans="1:17" ht="15.75" thickTop="1" x14ac:dyDescent="0.2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7" x14ac:dyDescent="0.25">
      <c r="B26" s="43"/>
      <c r="L26" s="45" t="s">
        <v>119</v>
      </c>
    </row>
    <row r="27" spans="1:17" x14ac:dyDescent="0.25">
      <c r="B27" s="43"/>
      <c r="L27" s="45"/>
    </row>
    <row r="28" spans="1:17" x14ac:dyDescent="0.25">
      <c r="B28" s="44" t="s">
        <v>120</v>
      </c>
    </row>
  </sheetData>
  <mergeCells count="60">
    <mergeCell ref="M21:M22"/>
    <mergeCell ref="N21:N22"/>
    <mergeCell ref="B23:B24"/>
    <mergeCell ref="C23:C24"/>
    <mergeCell ref="D23:D24"/>
    <mergeCell ref="E23:E24"/>
    <mergeCell ref="L23:L24"/>
    <mergeCell ref="M23:M24"/>
    <mergeCell ref="N23:N24"/>
    <mergeCell ref="B21:B22"/>
    <mergeCell ref="C21:C22"/>
    <mergeCell ref="D21:D22"/>
    <mergeCell ref="E21:E22"/>
    <mergeCell ref="L21:L22"/>
    <mergeCell ref="M16:M18"/>
    <mergeCell ref="N16:N18"/>
    <mergeCell ref="B19:B20"/>
    <mergeCell ref="C19:C20"/>
    <mergeCell ref="D19:D20"/>
    <mergeCell ref="E19:E20"/>
    <mergeCell ref="L19:L20"/>
    <mergeCell ref="M19:M20"/>
    <mergeCell ref="N19:N20"/>
    <mergeCell ref="B16:B18"/>
    <mergeCell ref="C16:C18"/>
    <mergeCell ref="D16:D18"/>
    <mergeCell ref="E16:E18"/>
    <mergeCell ref="L16:L18"/>
    <mergeCell ref="P11:P12"/>
    <mergeCell ref="B13:B15"/>
    <mergeCell ref="C13:C15"/>
    <mergeCell ref="D13:D15"/>
    <mergeCell ref="E13:E15"/>
    <mergeCell ref="L13:L15"/>
    <mergeCell ref="M13:M15"/>
    <mergeCell ref="N13:N15"/>
    <mergeCell ref="O13:O24"/>
    <mergeCell ref="H10:H12"/>
    <mergeCell ref="I10:K10"/>
    <mergeCell ref="L10:N10"/>
    <mergeCell ref="O10:P10"/>
    <mergeCell ref="I11:I12"/>
    <mergeCell ref="J11:J12"/>
    <mergeCell ref="P13:P24"/>
    <mergeCell ref="A5:P5"/>
    <mergeCell ref="K11:K12"/>
    <mergeCell ref="L11:L12"/>
    <mergeCell ref="M11:M12"/>
    <mergeCell ref="N11:N12"/>
    <mergeCell ref="A9:A24"/>
    <mergeCell ref="B9:E9"/>
    <mergeCell ref="F9:H9"/>
    <mergeCell ref="I9:P9"/>
    <mergeCell ref="B10:B12"/>
    <mergeCell ref="C10:C12"/>
    <mergeCell ref="D10:D12"/>
    <mergeCell ref="E10:E12"/>
    <mergeCell ref="F10:F12"/>
    <mergeCell ref="G10:G12"/>
    <mergeCell ref="O11:O12"/>
  </mergeCells>
  <pageMargins left="0.7" right="0.7" top="0.75" bottom="0.75" header="0.3" footer="0.3"/>
  <pageSetup paperSize="9" scale="80" orientation="landscape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18D44-47D2-4490-B52B-10101B4E9BE8}">
  <dimension ref="A5:Q30"/>
  <sheetViews>
    <sheetView topLeftCell="A7" zoomScale="90" zoomScaleNormal="90" workbookViewId="0">
      <selection activeCell="I11" sqref="I11:I12"/>
    </sheetView>
  </sheetViews>
  <sheetFormatPr baseColWidth="10" defaultRowHeight="15" x14ac:dyDescent="0.25"/>
  <cols>
    <col min="1" max="1" width="3.42578125" customWidth="1"/>
    <col min="2" max="2" width="10.140625" customWidth="1"/>
    <col min="3" max="3" width="19.5703125" customWidth="1"/>
    <col min="4" max="4" width="6.7109375" customWidth="1"/>
    <col min="5" max="5" width="7.140625" customWidth="1"/>
    <col min="6" max="6" width="19.85546875" customWidth="1"/>
    <col min="8" max="8" width="6.140625" customWidth="1"/>
    <col min="10" max="10" width="7.85546875" customWidth="1"/>
    <col min="12" max="13" width="8.28515625" customWidth="1"/>
    <col min="14" max="14" width="8.42578125" customWidth="1"/>
    <col min="15" max="15" width="9.42578125" customWidth="1"/>
  </cols>
  <sheetData>
    <row r="5" spans="1:17" x14ac:dyDescent="0.2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</row>
    <row r="6" spans="1:17" x14ac:dyDescent="0.25">
      <c r="A6" s="42"/>
    </row>
    <row r="7" spans="1:17" x14ac:dyDescent="0.25">
      <c r="A7" s="42"/>
    </row>
    <row r="8" spans="1:17" x14ac:dyDescent="0.25">
      <c r="A8" s="42"/>
    </row>
    <row r="9" spans="1:17" ht="27" customHeight="1" x14ac:dyDescent="0.25">
      <c r="A9" s="72" t="s">
        <v>121</v>
      </c>
      <c r="B9" s="117" t="s">
        <v>1</v>
      </c>
      <c r="C9" s="59"/>
      <c r="D9" s="59"/>
      <c r="E9" s="59"/>
      <c r="F9" s="59" t="s">
        <v>2</v>
      </c>
      <c r="G9" s="59"/>
      <c r="H9" s="59"/>
      <c r="I9" s="49"/>
      <c r="J9" s="49"/>
      <c r="K9" s="49"/>
      <c r="L9" s="49"/>
      <c r="M9" s="49"/>
      <c r="N9" s="49"/>
      <c r="O9" s="49"/>
      <c r="P9" s="49"/>
      <c r="Q9" s="1"/>
    </row>
    <row r="10" spans="1:17" x14ac:dyDescent="0.25">
      <c r="A10" s="73"/>
      <c r="B10" s="116" t="s">
        <v>4</v>
      </c>
      <c r="C10" s="53" t="s">
        <v>5</v>
      </c>
      <c r="D10" s="53" t="s">
        <v>6</v>
      </c>
      <c r="E10" s="53" t="s">
        <v>7</v>
      </c>
      <c r="F10" s="53" t="s">
        <v>8</v>
      </c>
      <c r="G10" s="53" t="s">
        <v>9</v>
      </c>
      <c r="H10" s="53" t="s">
        <v>7</v>
      </c>
      <c r="I10" s="114"/>
      <c r="J10" s="114"/>
      <c r="K10" s="114"/>
      <c r="L10" s="114"/>
      <c r="M10" s="114"/>
      <c r="N10" s="114"/>
      <c r="O10" s="114"/>
      <c r="P10" s="114"/>
      <c r="Q10" s="1"/>
    </row>
    <row r="11" spans="1:17" ht="15" customHeight="1" x14ac:dyDescent="0.25">
      <c r="A11" s="73"/>
      <c r="B11" s="116"/>
      <c r="C11" s="53"/>
      <c r="D11" s="53"/>
      <c r="E11" s="53"/>
      <c r="F11" s="53"/>
      <c r="G11" s="53"/>
      <c r="H11" s="53"/>
      <c r="I11" s="114"/>
      <c r="J11" s="114"/>
      <c r="K11" s="114"/>
      <c r="L11" s="114"/>
      <c r="M11" s="114"/>
      <c r="N11" s="114"/>
      <c r="O11" s="114"/>
      <c r="P11" s="114"/>
      <c r="Q11" s="1"/>
    </row>
    <row r="12" spans="1:17" x14ac:dyDescent="0.25">
      <c r="A12" s="73"/>
      <c r="B12" s="116"/>
      <c r="C12" s="53"/>
      <c r="D12" s="53"/>
      <c r="E12" s="53"/>
      <c r="F12" s="53"/>
      <c r="G12" s="53"/>
      <c r="H12" s="53"/>
      <c r="I12" s="114"/>
      <c r="J12" s="114"/>
      <c r="K12" s="114"/>
      <c r="L12" s="114"/>
      <c r="M12" s="114"/>
      <c r="N12" s="114"/>
      <c r="O12" s="114"/>
      <c r="P12" s="114"/>
      <c r="Q12" s="1"/>
    </row>
    <row r="13" spans="1:17" ht="24" customHeight="1" x14ac:dyDescent="0.25">
      <c r="A13" s="73"/>
      <c r="B13" s="116" t="s">
        <v>17</v>
      </c>
      <c r="C13" s="53" t="s">
        <v>18</v>
      </c>
      <c r="D13" s="59">
        <f>G13+G14</f>
        <v>5</v>
      </c>
      <c r="E13" s="59">
        <f>H13+H14</f>
        <v>5</v>
      </c>
      <c r="F13" s="4" t="s">
        <v>19</v>
      </c>
      <c r="G13" s="2">
        <v>3</v>
      </c>
      <c r="H13" s="2">
        <v>3</v>
      </c>
      <c r="I13" s="47"/>
      <c r="J13" s="46"/>
      <c r="K13" s="46"/>
      <c r="L13" s="114"/>
      <c r="M13" s="114"/>
      <c r="N13" s="114"/>
      <c r="O13" s="114"/>
      <c r="P13" s="114"/>
      <c r="Q13" s="1"/>
    </row>
    <row r="14" spans="1:17" ht="36.75" customHeight="1" thickBot="1" x14ac:dyDescent="0.3">
      <c r="A14" s="73"/>
      <c r="B14" s="99"/>
      <c r="C14" s="54"/>
      <c r="D14" s="60"/>
      <c r="E14" s="61"/>
      <c r="F14" s="6" t="s">
        <v>20</v>
      </c>
      <c r="G14" s="5">
        <v>2</v>
      </c>
      <c r="H14" s="5">
        <v>2</v>
      </c>
      <c r="I14" s="47"/>
      <c r="J14" s="46"/>
      <c r="K14" s="46"/>
      <c r="L14" s="114"/>
      <c r="M14" s="114"/>
      <c r="N14" s="114"/>
      <c r="O14" s="114"/>
      <c r="P14" s="114"/>
      <c r="Q14" s="1"/>
    </row>
    <row r="15" spans="1:17" ht="24.75" customHeight="1" x14ac:dyDescent="0.25">
      <c r="A15" s="73"/>
      <c r="B15" s="94" t="s">
        <v>21</v>
      </c>
      <c r="C15" s="65" t="s">
        <v>22</v>
      </c>
      <c r="D15" s="75">
        <f>G15+G16</f>
        <v>5</v>
      </c>
      <c r="E15" s="77">
        <f>H15+H16</f>
        <v>5</v>
      </c>
      <c r="F15" s="10" t="s">
        <v>23</v>
      </c>
      <c r="G15" s="10">
        <v>2</v>
      </c>
      <c r="H15" s="10">
        <v>2</v>
      </c>
      <c r="I15" s="47"/>
      <c r="J15" s="46"/>
      <c r="K15" s="46"/>
      <c r="L15" s="114"/>
      <c r="M15" s="113"/>
      <c r="N15" s="114"/>
      <c r="O15" s="114"/>
      <c r="P15" s="114"/>
      <c r="Q15" s="1"/>
    </row>
    <row r="16" spans="1:17" ht="27.75" customHeight="1" thickBot="1" x14ac:dyDescent="0.3">
      <c r="A16" s="73"/>
      <c r="B16" s="95"/>
      <c r="C16" s="66"/>
      <c r="D16" s="76"/>
      <c r="E16" s="76"/>
      <c r="F16" s="16" t="s">
        <v>24</v>
      </c>
      <c r="G16" s="12">
        <v>3</v>
      </c>
      <c r="H16" s="12">
        <v>3</v>
      </c>
      <c r="I16" s="48"/>
      <c r="J16" s="46"/>
      <c r="K16" s="46"/>
      <c r="L16" s="114"/>
      <c r="M16" s="113"/>
      <c r="N16" s="114"/>
      <c r="O16" s="114"/>
      <c r="P16" s="114"/>
      <c r="Q16" s="1"/>
    </row>
    <row r="17" spans="1:17" x14ac:dyDescent="0.25">
      <c r="A17" s="73"/>
      <c r="B17" s="115" t="s">
        <v>26</v>
      </c>
      <c r="C17" s="79" t="s">
        <v>25</v>
      </c>
      <c r="D17" s="80">
        <f>G17+G18+G19</f>
        <v>6</v>
      </c>
      <c r="E17" s="80">
        <f>H17+H18+H19</f>
        <v>6</v>
      </c>
      <c r="F17" s="4" t="s">
        <v>27</v>
      </c>
      <c r="G17" s="4">
        <v>2</v>
      </c>
      <c r="H17" s="4">
        <v>2</v>
      </c>
      <c r="I17" s="48"/>
      <c r="J17" s="46"/>
      <c r="K17" s="46"/>
      <c r="L17" s="113"/>
      <c r="M17" s="113"/>
      <c r="N17" s="113"/>
      <c r="O17" s="114"/>
      <c r="P17" s="114"/>
      <c r="Q17" s="1"/>
    </row>
    <row r="18" spans="1:17" ht="24" x14ac:dyDescent="0.25">
      <c r="A18" s="73"/>
      <c r="B18" s="100"/>
      <c r="C18" s="56"/>
      <c r="D18" s="77"/>
      <c r="E18" s="77"/>
      <c r="F18" s="4" t="s">
        <v>28</v>
      </c>
      <c r="G18" s="6">
        <v>2</v>
      </c>
      <c r="H18" s="6">
        <v>2</v>
      </c>
      <c r="I18" s="48"/>
      <c r="J18" s="46"/>
      <c r="K18" s="46"/>
      <c r="L18" s="113"/>
      <c r="M18" s="113"/>
      <c r="N18" s="113"/>
      <c r="O18" s="114"/>
      <c r="P18" s="114"/>
      <c r="Q18" s="1"/>
    </row>
    <row r="19" spans="1:17" ht="28.5" customHeight="1" thickBot="1" x14ac:dyDescent="0.3">
      <c r="A19" s="73"/>
      <c r="B19" s="99"/>
      <c r="C19" s="54"/>
      <c r="D19" s="60"/>
      <c r="E19" s="60"/>
      <c r="F19" s="6" t="s">
        <v>29</v>
      </c>
      <c r="G19" s="5">
        <v>2</v>
      </c>
      <c r="H19" s="5">
        <v>2</v>
      </c>
      <c r="I19" s="47"/>
      <c r="J19" s="46"/>
      <c r="K19" s="46"/>
      <c r="L19" s="113"/>
      <c r="M19" s="113"/>
      <c r="N19" s="113"/>
      <c r="O19" s="114"/>
      <c r="P19" s="114"/>
      <c r="Q19" s="1"/>
    </row>
    <row r="20" spans="1:17" x14ac:dyDescent="0.25">
      <c r="A20" s="73"/>
      <c r="B20" s="94" t="s">
        <v>31</v>
      </c>
      <c r="C20" s="65" t="s">
        <v>30</v>
      </c>
      <c r="D20" s="84">
        <f>G20+G22+G21</f>
        <v>6</v>
      </c>
      <c r="E20" s="84">
        <f>H20+H22+H21</f>
        <v>6</v>
      </c>
      <c r="F20" s="10" t="s">
        <v>32</v>
      </c>
      <c r="G20" s="10">
        <v>2</v>
      </c>
      <c r="H20" s="10">
        <v>2</v>
      </c>
      <c r="I20" s="47"/>
      <c r="J20" s="46"/>
      <c r="K20" s="46"/>
      <c r="L20" s="113"/>
      <c r="M20" s="113"/>
      <c r="N20" s="113"/>
      <c r="O20" s="114"/>
      <c r="P20" s="114"/>
      <c r="Q20" s="1"/>
    </row>
    <row r="21" spans="1:17" x14ac:dyDescent="0.25">
      <c r="A21" s="73"/>
      <c r="B21" s="100"/>
      <c r="C21" s="56"/>
      <c r="D21" s="77"/>
      <c r="E21" s="77"/>
      <c r="F21" s="4" t="s">
        <v>33</v>
      </c>
      <c r="G21" s="6">
        <v>2</v>
      </c>
      <c r="H21" s="6">
        <v>2</v>
      </c>
      <c r="I21" s="47"/>
      <c r="J21" s="46"/>
      <c r="K21" s="46"/>
      <c r="L21" s="113"/>
      <c r="M21" s="113"/>
      <c r="N21" s="113"/>
      <c r="O21" s="114"/>
      <c r="P21" s="114"/>
      <c r="Q21" s="1"/>
    </row>
    <row r="22" spans="1:17" ht="33.75" customHeight="1" thickBot="1" x14ac:dyDescent="0.3">
      <c r="A22" s="73"/>
      <c r="B22" s="95"/>
      <c r="C22" s="66"/>
      <c r="D22" s="61"/>
      <c r="E22" s="61"/>
      <c r="F22" s="16" t="s">
        <v>34</v>
      </c>
      <c r="G22" s="12">
        <v>2</v>
      </c>
      <c r="H22" s="12">
        <v>2</v>
      </c>
      <c r="I22" s="47"/>
      <c r="J22" s="46"/>
      <c r="K22" s="46"/>
      <c r="L22" s="113"/>
      <c r="M22" s="113"/>
      <c r="N22" s="113"/>
      <c r="O22" s="114"/>
      <c r="P22" s="114"/>
      <c r="Q22" s="1"/>
    </row>
    <row r="23" spans="1:17" ht="34.5" customHeight="1" x14ac:dyDescent="0.25">
      <c r="A23" s="73"/>
      <c r="B23" s="100" t="s">
        <v>36</v>
      </c>
      <c r="C23" s="56" t="s">
        <v>35</v>
      </c>
      <c r="D23" s="75">
        <f>G23+G24</f>
        <v>4</v>
      </c>
      <c r="E23" s="75">
        <f>H23+H24</f>
        <v>4</v>
      </c>
      <c r="F23" s="4" t="s">
        <v>38</v>
      </c>
      <c r="G23" s="4">
        <v>2</v>
      </c>
      <c r="H23" s="4">
        <v>2</v>
      </c>
      <c r="I23" s="47"/>
      <c r="J23" s="46"/>
      <c r="K23" s="46"/>
      <c r="L23" s="113"/>
      <c r="M23" s="113"/>
      <c r="N23" s="113"/>
      <c r="O23" s="114"/>
      <c r="P23" s="114"/>
      <c r="Q23" s="1"/>
    </row>
    <row r="24" spans="1:17" ht="47.25" customHeight="1" thickBot="1" x14ac:dyDescent="0.3">
      <c r="A24" s="73"/>
      <c r="B24" s="100"/>
      <c r="C24" s="56"/>
      <c r="D24" s="76"/>
      <c r="E24" s="76"/>
      <c r="F24" s="5" t="s">
        <v>37</v>
      </c>
      <c r="G24" s="5">
        <v>2</v>
      </c>
      <c r="H24" s="5">
        <v>2</v>
      </c>
      <c r="I24" s="47"/>
      <c r="J24" s="46"/>
      <c r="K24" s="46"/>
      <c r="L24" s="113"/>
      <c r="M24" s="113"/>
      <c r="N24" s="113"/>
      <c r="O24" s="114"/>
      <c r="P24" s="114"/>
      <c r="Q24" s="1"/>
    </row>
    <row r="25" spans="1:17" ht="26.25" customHeight="1" x14ac:dyDescent="0.25">
      <c r="A25" s="73"/>
      <c r="B25" s="94" t="s">
        <v>39</v>
      </c>
      <c r="C25" s="65" t="s">
        <v>16</v>
      </c>
      <c r="D25" s="84">
        <f>G25+G26</f>
        <v>4</v>
      </c>
      <c r="E25" s="84">
        <f>H25+H26</f>
        <v>4</v>
      </c>
      <c r="F25" s="10" t="s">
        <v>41</v>
      </c>
      <c r="G25" s="10">
        <v>2</v>
      </c>
      <c r="H25" s="10">
        <v>2</v>
      </c>
      <c r="I25" s="47"/>
      <c r="J25" s="46"/>
      <c r="K25" s="46"/>
      <c r="L25" s="113"/>
      <c r="M25" s="113"/>
      <c r="N25" s="113"/>
      <c r="O25" s="114"/>
      <c r="P25" s="114"/>
      <c r="Q25" s="1"/>
    </row>
    <row r="26" spans="1:17" ht="22.5" customHeight="1" thickBot="1" x14ac:dyDescent="0.3">
      <c r="A26" s="74"/>
      <c r="B26" s="95"/>
      <c r="C26" s="66"/>
      <c r="D26" s="61"/>
      <c r="E26" s="61"/>
      <c r="F26" s="12" t="s">
        <v>40</v>
      </c>
      <c r="G26" s="12">
        <v>2</v>
      </c>
      <c r="H26" s="12">
        <v>2</v>
      </c>
      <c r="I26" s="47"/>
      <c r="J26" s="46"/>
      <c r="K26" s="46"/>
      <c r="L26" s="113"/>
      <c r="M26" s="113"/>
      <c r="N26" s="113"/>
      <c r="O26" s="114"/>
      <c r="P26" s="114"/>
      <c r="Q26" s="1"/>
    </row>
    <row r="27" spans="1:17" ht="15.75" thickTop="1" x14ac:dyDescent="0.25"/>
    <row r="28" spans="1:17" x14ac:dyDescent="0.25">
      <c r="A28" s="43"/>
      <c r="K28" s="45" t="s">
        <v>119</v>
      </c>
    </row>
    <row r="29" spans="1:17" x14ac:dyDescent="0.25">
      <c r="A29" s="43"/>
      <c r="K29" s="45"/>
    </row>
    <row r="30" spans="1:17" x14ac:dyDescent="0.25">
      <c r="A30" s="44" t="s">
        <v>120</v>
      </c>
    </row>
  </sheetData>
  <mergeCells count="66">
    <mergeCell ref="J11:J12"/>
    <mergeCell ref="K11:K12"/>
    <mergeCell ref="L11:L12"/>
    <mergeCell ref="M11:M12"/>
    <mergeCell ref="A5:P5"/>
    <mergeCell ref="A9:A26"/>
    <mergeCell ref="B9:E9"/>
    <mergeCell ref="F9:H9"/>
    <mergeCell ref="B10:B12"/>
    <mergeCell ref="C10:C12"/>
    <mergeCell ref="D10:D12"/>
    <mergeCell ref="E10:E12"/>
    <mergeCell ref="F10:F12"/>
    <mergeCell ref="N11:N12"/>
    <mergeCell ref="O11:O12"/>
    <mergeCell ref="P11:P12"/>
    <mergeCell ref="B13:B14"/>
    <mergeCell ref="C13:C14"/>
    <mergeCell ref="D13:D14"/>
    <mergeCell ref="E13:E14"/>
    <mergeCell ref="L13:L14"/>
    <mergeCell ref="M13:M14"/>
    <mergeCell ref="N13:N14"/>
    <mergeCell ref="G10:G12"/>
    <mergeCell ref="H10:H12"/>
    <mergeCell ref="I10:K10"/>
    <mergeCell ref="L10:N10"/>
    <mergeCell ref="O10:P10"/>
    <mergeCell ref="I11:I12"/>
    <mergeCell ref="N17:N19"/>
    <mergeCell ref="O13:O26"/>
    <mergeCell ref="P13:P26"/>
    <mergeCell ref="B15:B16"/>
    <mergeCell ref="C15:C16"/>
    <mergeCell ref="D15:D16"/>
    <mergeCell ref="E15:E16"/>
    <mergeCell ref="L15:L16"/>
    <mergeCell ref="M15:M16"/>
    <mergeCell ref="N15:N16"/>
    <mergeCell ref="B17:B19"/>
    <mergeCell ref="C17:C19"/>
    <mergeCell ref="D17:D19"/>
    <mergeCell ref="E17:E19"/>
    <mergeCell ref="L17:L19"/>
    <mergeCell ref="M17:M19"/>
    <mergeCell ref="N20:N22"/>
    <mergeCell ref="B23:B24"/>
    <mergeCell ref="C23:C24"/>
    <mergeCell ref="D23:D24"/>
    <mergeCell ref="E23:E24"/>
    <mergeCell ref="L23:L24"/>
    <mergeCell ref="M23:M24"/>
    <mergeCell ref="N23:N24"/>
    <mergeCell ref="B20:B22"/>
    <mergeCell ref="C20:C22"/>
    <mergeCell ref="D20:D22"/>
    <mergeCell ref="E20:E22"/>
    <mergeCell ref="L20:L22"/>
    <mergeCell ref="M20:M22"/>
    <mergeCell ref="N25:N26"/>
    <mergeCell ref="B25:B26"/>
    <mergeCell ref="C25:C26"/>
    <mergeCell ref="D25:D26"/>
    <mergeCell ref="E25:E26"/>
    <mergeCell ref="L25:L26"/>
    <mergeCell ref="M25:M26"/>
  </mergeCells>
  <pageMargins left="0.7" right="0.7" top="0.75" bottom="0.75" header="0.3" footer="0.3"/>
  <pageSetup paperSize="9" scale="80" orientation="landscape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SI</vt:lpstr>
      <vt:lpstr>SII</vt:lpstr>
      <vt:lpstr>SIII</vt:lpstr>
      <vt:lpstr>SIV</vt:lpstr>
      <vt:lpstr>SI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Dr Mamadou SANOGO</cp:lastModifiedBy>
  <cp:lastPrinted>2024-06-21T14:32:22Z</cp:lastPrinted>
  <dcterms:created xsi:type="dcterms:W3CDTF">2022-07-26T10:40:06Z</dcterms:created>
  <dcterms:modified xsi:type="dcterms:W3CDTF">2024-11-09T15:17:54Z</dcterms:modified>
</cp:coreProperties>
</file>