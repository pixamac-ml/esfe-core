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OPIE ASSAN\Nouveau dossier\"/>
    </mc:Choice>
  </mc:AlternateContent>
  <xr:revisionPtr revIDLastSave="0" documentId="13_ncr:1_{5649D85A-5A41-4E17-B3DC-650BA06D360F}" xr6:coauthVersionLast="47" xr6:coauthVersionMax="47" xr10:uidLastSave="{00000000-0000-0000-0000-000000000000}"/>
  <bookViews>
    <workbookView xWindow="-110" yWindow="-110" windowWidth="19420" windowHeight="10420" activeTab="1" xr2:uid="{15DDEFA8-0CEE-4BE7-BF4A-8BC641B8955D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" l="1"/>
  <c r="I39" i="2" s="1"/>
  <c r="M38" i="2"/>
  <c r="H38" i="2"/>
  <c r="I38" i="2" s="1"/>
  <c r="K38" i="2" s="1"/>
  <c r="L38" i="2" s="1"/>
  <c r="H37" i="2"/>
  <c r="I37" i="2" s="1"/>
  <c r="H36" i="2"/>
  <c r="I36" i="2" s="1"/>
  <c r="J35" i="2"/>
  <c r="M30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J26" i="2" s="1"/>
  <c r="I25" i="2"/>
  <c r="H25" i="2"/>
  <c r="H24" i="2"/>
  <c r="I24" i="2" s="1"/>
  <c r="H23" i="2"/>
  <c r="J23" i="2" s="1"/>
  <c r="I22" i="2"/>
  <c r="H22" i="2"/>
  <c r="H21" i="2"/>
  <c r="I21" i="2" s="1"/>
  <c r="J20" i="2"/>
  <c r="H20" i="2"/>
  <c r="I20" i="2" s="1"/>
  <c r="H19" i="2"/>
  <c r="I19" i="2" s="1"/>
  <c r="J18" i="2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M11" i="2"/>
  <c r="H11" i="2"/>
  <c r="I11" i="2" s="1"/>
  <c r="DA37" i="1"/>
  <c r="CZ37" i="1"/>
  <c r="CX37" i="1"/>
  <c r="DD37" i="1" s="1"/>
  <c r="CW37" i="1"/>
  <c r="CR37" i="1"/>
  <c r="CQ37" i="1"/>
  <c r="CO37" i="1"/>
  <c r="CN37" i="1"/>
  <c r="CL37" i="1"/>
  <c r="CK37" i="1"/>
  <c r="CI37" i="1"/>
  <c r="CH37" i="1"/>
  <c r="CF37" i="1"/>
  <c r="CE37" i="1"/>
  <c r="CC37" i="1"/>
  <c r="CB37" i="1"/>
  <c r="BZ37" i="1"/>
  <c r="BY37" i="1"/>
  <c r="BW37" i="1"/>
  <c r="CU37" i="1" s="1"/>
  <c r="BV37" i="1"/>
  <c r="BQ37" i="1"/>
  <c r="BP37" i="1"/>
  <c r="BN37" i="1"/>
  <c r="BM37" i="1"/>
  <c r="BK37" i="1"/>
  <c r="BJ37" i="1"/>
  <c r="BE37" i="1"/>
  <c r="BD37" i="1"/>
  <c r="BB37" i="1"/>
  <c r="BA37" i="1"/>
  <c r="AY37" i="1"/>
  <c r="AX37" i="1"/>
  <c r="AV37" i="1"/>
  <c r="AU37" i="1"/>
  <c r="AS37" i="1"/>
  <c r="AR37" i="1"/>
  <c r="AP37" i="1"/>
  <c r="AO37" i="1"/>
  <c r="BF37" i="1" s="1"/>
  <c r="BG37" i="1" s="1"/>
  <c r="AJ37" i="1"/>
  <c r="AI37" i="1"/>
  <c r="AG37" i="1"/>
  <c r="AF37" i="1"/>
  <c r="AD37" i="1"/>
  <c r="AC37" i="1"/>
  <c r="AA37" i="1"/>
  <c r="Z37" i="1"/>
  <c r="AK37" i="1" s="1"/>
  <c r="AL37" i="1" s="1"/>
  <c r="X37" i="1"/>
  <c r="AM37" i="1" s="1"/>
  <c r="W37" i="1"/>
  <c r="R37" i="1"/>
  <c r="Q37" i="1"/>
  <c r="O37" i="1"/>
  <c r="N37" i="1"/>
  <c r="L37" i="1"/>
  <c r="K37" i="1"/>
  <c r="I37" i="1"/>
  <c r="U37" i="1" s="1"/>
  <c r="H37" i="1"/>
  <c r="F37" i="1"/>
  <c r="E37" i="1"/>
  <c r="S37" i="1" s="1"/>
  <c r="T37" i="1" s="1"/>
  <c r="DD36" i="1"/>
  <c r="CZ36" i="1"/>
  <c r="CW36" i="1"/>
  <c r="DB36" i="1" s="1"/>
  <c r="DC36" i="1" s="1"/>
  <c r="CU36" i="1"/>
  <c r="CR36" i="1"/>
  <c r="CQ36" i="1"/>
  <c r="CO36" i="1"/>
  <c r="CN36" i="1"/>
  <c r="CL36" i="1"/>
  <c r="CK36" i="1"/>
  <c r="CI36" i="1"/>
  <c r="CH36" i="1"/>
  <c r="CF36" i="1"/>
  <c r="CE36" i="1"/>
  <c r="CC36" i="1"/>
  <c r="CB36" i="1"/>
  <c r="BZ36" i="1"/>
  <c r="BY36" i="1"/>
  <c r="BW36" i="1"/>
  <c r="BV36" i="1"/>
  <c r="BT36" i="1"/>
  <c r="BQ36" i="1"/>
  <c r="BP36" i="1"/>
  <c r="BM36" i="1"/>
  <c r="BK36" i="1"/>
  <c r="BJ36" i="1"/>
  <c r="BE36" i="1"/>
  <c r="BD36" i="1"/>
  <c r="BB36" i="1"/>
  <c r="BA36" i="1"/>
  <c r="AY36" i="1"/>
  <c r="AX36" i="1"/>
  <c r="AV36" i="1"/>
  <c r="AU36" i="1"/>
  <c r="AR36" i="1"/>
  <c r="AP36" i="1"/>
  <c r="AO36" i="1"/>
  <c r="AJ36" i="1"/>
  <c r="AI36" i="1"/>
  <c r="AG36" i="1"/>
  <c r="AF36" i="1"/>
  <c r="AC36" i="1"/>
  <c r="Z36" i="1"/>
  <c r="W36" i="1"/>
  <c r="Q36" i="1"/>
  <c r="N36" i="1"/>
  <c r="L36" i="1"/>
  <c r="K36" i="1"/>
  <c r="H36" i="1"/>
  <c r="F36" i="1"/>
  <c r="E36" i="1"/>
  <c r="S36" i="1" s="1"/>
  <c r="T36" i="1" s="1"/>
  <c r="DD35" i="1"/>
  <c r="CZ35" i="1"/>
  <c r="CW35" i="1"/>
  <c r="DB35" i="1" s="1"/>
  <c r="DC35" i="1" s="1"/>
  <c r="CU35" i="1"/>
  <c r="CR35" i="1"/>
  <c r="CQ35" i="1"/>
  <c r="CO35" i="1"/>
  <c r="CN35" i="1"/>
  <c r="CK35" i="1"/>
  <c r="CI35" i="1"/>
  <c r="CH35" i="1"/>
  <c r="CE35" i="1"/>
  <c r="CB35" i="1"/>
  <c r="BY35" i="1"/>
  <c r="BW35" i="1"/>
  <c r="BV35" i="1"/>
  <c r="CS35" i="1" s="1"/>
  <c r="CT35" i="1" s="1"/>
  <c r="BT35" i="1"/>
  <c r="BQ35" i="1"/>
  <c r="BP35" i="1"/>
  <c r="BM35" i="1"/>
  <c r="BJ35" i="1"/>
  <c r="BE35" i="1"/>
  <c r="BD35" i="1"/>
  <c r="BB35" i="1"/>
  <c r="BA35" i="1"/>
  <c r="AY35" i="1"/>
  <c r="AX35" i="1"/>
  <c r="AU35" i="1"/>
  <c r="AR35" i="1"/>
  <c r="AP35" i="1"/>
  <c r="AO35" i="1"/>
  <c r="AM35" i="1"/>
  <c r="AJ35" i="1"/>
  <c r="AI35" i="1"/>
  <c r="AF35" i="1"/>
  <c r="AC35" i="1"/>
  <c r="Z35" i="1"/>
  <c r="W35" i="1"/>
  <c r="U35" i="1"/>
  <c r="Q35" i="1"/>
  <c r="N35" i="1"/>
  <c r="K35" i="1"/>
  <c r="H35" i="1"/>
  <c r="E35" i="1"/>
  <c r="CZ34" i="1"/>
  <c r="CX34" i="1"/>
  <c r="DD34" i="1" s="1"/>
  <c r="CW34" i="1"/>
  <c r="DB34" i="1" s="1"/>
  <c r="DC34" i="1" s="1"/>
  <c r="CQ34" i="1"/>
  <c r="CN34" i="1"/>
  <c r="CL34" i="1"/>
  <c r="CK34" i="1"/>
  <c r="CI34" i="1"/>
  <c r="CH34" i="1"/>
  <c r="CE34" i="1"/>
  <c r="CC34" i="1"/>
  <c r="CU34" i="1" s="1"/>
  <c r="CB34" i="1"/>
  <c r="BY34" i="1"/>
  <c r="BV34" i="1"/>
  <c r="BQ34" i="1"/>
  <c r="BP34" i="1"/>
  <c r="BN34" i="1"/>
  <c r="BT34" i="1" s="1"/>
  <c r="BM34" i="1"/>
  <c r="BR34" i="1" s="1"/>
  <c r="BS34" i="1" s="1"/>
  <c r="BJ34" i="1"/>
  <c r="BD34" i="1"/>
  <c r="BA34" i="1"/>
  <c r="AY34" i="1"/>
  <c r="AX34" i="1"/>
  <c r="AV34" i="1"/>
  <c r="AU34" i="1"/>
  <c r="AR34" i="1"/>
  <c r="AO34" i="1"/>
  <c r="AM34" i="1"/>
  <c r="AI34" i="1"/>
  <c r="AF34" i="1"/>
  <c r="AC34" i="1"/>
  <c r="Z34" i="1"/>
  <c r="W34" i="1"/>
  <c r="AK34" i="1" s="1"/>
  <c r="AL34" i="1" s="1"/>
  <c r="U34" i="1"/>
  <c r="Q34" i="1"/>
  <c r="N34" i="1"/>
  <c r="K34" i="1"/>
  <c r="H34" i="1"/>
  <c r="E34" i="1"/>
  <c r="DA33" i="1"/>
  <c r="DD33" i="1" s="1"/>
  <c r="CZ33" i="1"/>
  <c r="CW33" i="1"/>
  <c r="CR33" i="1"/>
  <c r="CQ33" i="1"/>
  <c r="CO33" i="1"/>
  <c r="CN33" i="1"/>
  <c r="CL33" i="1"/>
  <c r="CK33" i="1"/>
  <c r="CI33" i="1"/>
  <c r="CH33" i="1"/>
  <c r="CE33" i="1"/>
  <c r="CB33" i="1"/>
  <c r="BZ33" i="1"/>
  <c r="BY33" i="1"/>
  <c r="BW33" i="1"/>
  <c r="BV33" i="1"/>
  <c r="BQ33" i="1"/>
  <c r="BN33" i="1"/>
  <c r="BM33" i="1"/>
  <c r="BJ33" i="1"/>
  <c r="BR33" i="1" s="1"/>
  <c r="BS33" i="1" s="1"/>
  <c r="BD33" i="1"/>
  <c r="BA33" i="1"/>
  <c r="AY33" i="1"/>
  <c r="AX33" i="1"/>
  <c r="AV33" i="1"/>
  <c r="AU33" i="1"/>
  <c r="AS33" i="1"/>
  <c r="AR33" i="1"/>
  <c r="BF33" i="1" s="1"/>
  <c r="BG33" i="1" s="1"/>
  <c r="AP33" i="1"/>
  <c r="BH33" i="1" s="1"/>
  <c r="AO33" i="1"/>
  <c r="AI33" i="1"/>
  <c r="AG33" i="1"/>
  <c r="AF33" i="1"/>
  <c r="AC33" i="1"/>
  <c r="AA33" i="1"/>
  <c r="Z33" i="1"/>
  <c r="X33" i="1"/>
  <c r="W33" i="1"/>
  <c r="Q33" i="1"/>
  <c r="O33" i="1"/>
  <c r="N33" i="1"/>
  <c r="L33" i="1"/>
  <c r="K33" i="1"/>
  <c r="I33" i="1"/>
  <c r="H33" i="1"/>
  <c r="F33" i="1"/>
  <c r="E33" i="1"/>
  <c r="S33" i="1" s="1"/>
  <c r="T33" i="1" s="1"/>
  <c r="DA32" i="1"/>
  <c r="DD32" i="1" s="1"/>
  <c r="CZ32" i="1"/>
  <c r="CW32" i="1"/>
  <c r="DB32" i="1" s="1"/>
  <c r="DC32" i="1" s="1"/>
  <c r="CR32" i="1"/>
  <c r="CQ32" i="1"/>
  <c r="CO32" i="1"/>
  <c r="CN32" i="1"/>
  <c r="CL32" i="1"/>
  <c r="CK32" i="1"/>
  <c r="CI32" i="1"/>
  <c r="CH32" i="1"/>
  <c r="CE32" i="1"/>
  <c r="CC32" i="1"/>
  <c r="CB32" i="1"/>
  <c r="BY32" i="1"/>
  <c r="BW32" i="1"/>
  <c r="BV32" i="1"/>
  <c r="BT32" i="1"/>
  <c r="BQ32" i="1"/>
  <c r="BP32" i="1"/>
  <c r="BN32" i="1"/>
  <c r="BM32" i="1"/>
  <c r="BK32" i="1"/>
  <c r="BJ32" i="1"/>
  <c r="BE32" i="1"/>
  <c r="BD32" i="1"/>
  <c r="BB32" i="1"/>
  <c r="BA32" i="1"/>
  <c r="AY32" i="1"/>
  <c r="AX32" i="1"/>
  <c r="AV32" i="1"/>
  <c r="AU32" i="1"/>
  <c r="AS32" i="1"/>
  <c r="AR32" i="1"/>
  <c r="AP32" i="1"/>
  <c r="AO32" i="1"/>
  <c r="AM32" i="1"/>
  <c r="AI32" i="1"/>
  <c r="AF32" i="1"/>
  <c r="AC32" i="1"/>
  <c r="Z32" i="1"/>
  <c r="W32" i="1"/>
  <c r="Q32" i="1"/>
  <c r="N32" i="1"/>
  <c r="L32" i="1"/>
  <c r="U32" i="1" s="1"/>
  <c r="K32" i="1"/>
  <c r="H32" i="1"/>
  <c r="F32" i="1"/>
  <c r="E32" i="1"/>
  <c r="DD31" i="1"/>
  <c r="CZ31" i="1"/>
  <c r="CW31" i="1"/>
  <c r="DB31" i="1" s="1"/>
  <c r="DC31" i="1" s="1"/>
  <c r="CR31" i="1"/>
  <c r="CQ31" i="1"/>
  <c r="CO31" i="1"/>
  <c r="CN31" i="1"/>
  <c r="CL31" i="1"/>
  <c r="CK31" i="1"/>
  <c r="CI31" i="1"/>
  <c r="CH31" i="1"/>
  <c r="CE31" i="1"/>
  <c r="CC31" i="1"/>
  <c r="CB31" i="1"/>
  <c r="BZ31" i="1"/>
  <c r="BY31" i="1"/>
  <c r="CS31" i="1" s="1"/>
  <c r="CT31" i="1" s="1"/>
  <c r="BV31" i="1"/>
  <c r="BQ31" i="1"/>
  <c r="BT31" i="1" s="1"/>
  <c r="BP31" i="1"/>
  <c r="BM31" i="1"/>
  <c r="BJ31" i="1"/>
  <c r="BE31" i="1"/>
  <c r="BD31" i="1"/>
  <c r="BA31" i="1"/>
  <c r="AY31" i="1"/>
  <c r="AX31" i="1"/>
  <c r="AV31" i="1"/>
  <c r="AU31" i="1"/>
  <c r="AR31" i="1"/>
  <c r="AP31" i="1"/>
  <c r="AO31" i="1"/>
  <c r="AJ31" i="1"/>
  <c r="AM31" i="1" s="1"/>
  <c r="AI31" i="1"/>
  <c r="AF31" i="1"/>
  <c r="AC31" i="1"/>
  <c r="Z31" i="1"/>
  <c r="W31" i="1"/>
  <c r="Q31" i="1"/>
  <c r="N31" i="1"/>
  <c r="L31" i="1"/>
  <c r="U31" i="1" s="1"/>
  <c r="K31" i="1"/>
  <c r="H31" i="1"/>
  <c r="E31" i="1"/>
  <c r="DD30" i="1"/>
  <c r="DB30" i="1"/>
  <c r="DC30" i="1" s="1"/>
  <c r="CZ30" i="1"/>
  <c r="CW30" i="1"/>
  <c r="CR30" i="1"/>
  <c r="CQ30" i="1"/>
  <c r="CN30" i="1"/>
  <c r="CL30" i="1"/>
  <c r="CK30" i="1"/>
  <c r="CH30" i="1"/>
  <c r="CF30" i="1"/>
  <c r="CE30" i="1"/>
  <c r="CB30" i="1"/>
  <c r="BY30" i="1"/>
  <c r="BV30" i="1"/>
  <c r="BQ30" i="1"/>
  <c r="BT30" i="1" s="1"/>
  <c r="BP30" i="1"/>
  <c r="BM30" i="1"/>
  <c r="BJ30" i="1"/>
  <c r="BE30" i="1"/>
  <c r="BD30" i="1"/>
  <c r="BA30" i="1"/>
  <c r="AX30" i="1"/>
  <c r="AV30" i="1"/>
  <c r="AU30" i="1"/>
  <c r="AR30" i="1"/>
  <c r="AP30" i="1"/>
  <c r="BH30" i="1" s="1"/>
  <c r="AO30" i="1"/>
  <c r="BF30" i="1" s="1"/>
  <c r="BG30" i="1" s="1"/>
  <c r="AM30" i="1"/>
  <c r="AJ30" i="1"/>
  <c r="AI30" i="1"/>
  <c r="AF30" i="1"/>
  <c r="AC30" i="1"/>
  <c r="Z30" i="1"/>
  <c r="X30" i="1"/>
  <c r="W30" i="1"/>
  <c r="AK30" i="1" s="1"/>
  <c r="AL30" i="1" s="1"/>
  <c r="U30" i="1"/>
  <c r="Q30" i="1"/>
  <c r="N30" i="1"/>
  <c r="K30" i="1"/>
  <c r="H30" i="1"/>
  <c r="E30" i="1"/>
  <c r="DD29" i="1"/>
  <c r="CZ29" i="1"/>
  <c r="CW29" i="1"/>
  <c r="CR29" i="1"/>
  <c r="CQ29" i="1"/>
  <c r="CN29" i="1"/>
  <c r="CL29" i="1"/>
  <c r="CK29" i="1"/>
  <c r="CI29" i="1"/>
  <c r="CH29" i="1"/>
  <c r="CE29" i="1"/>
  <c r="CC29" i="1"/>
  <c r="CB29" i="1"/>
  <c r="BY29" i="1"/>
  <c r="BV29" i="1"/>
  <c r="BQ29" i="1"/>
  <c r="BT29" i="1" s="1"/>
  <c r="BP29" i="1"/>
  <c r="BM29" i="1"/>
  <c r="BJ29" i="1"/>
  <c r="BE29" i="1"/>
  <c r="BD29" i="1"/>
  <c r="BB29" i="1"/>
  <c r="BA29" i="1"/>
  <c r="AY29" i="1"/>
  <c r="AX29" i="1"/>
  <c r="AV29" i="1"/>
  <c r="AU29" i="1"/>
  <c r="AR29" i="1"/>
  <c r="AP29" i="1"/>
  <c r="AO29" i="1"/>
  <c r="AJ29" i="1"/>
  <c r="AM29" i="1" s="1"/>
  <c r="AI29" i="1"/>
  <c r="AF29" i="1"/>
  <c r="AC29" i="1"/>
  <c r="Z29" i="1"/>
  <c r="W29" i="1"/>
  <c r="Q29" i="1"/>
  <c r="N29" i="1"/>
  <c r="L29" i="1"/>
  <c r="U29" i="1" s="1"/>
  <c r="K29" i="1"/>
  <c r="S29" i="1" s="1"/>
  <c r="T29" i="1" s="1"/>
  <c r="H29" i="1"/>
  <c r="E29" i="1"/>
  <c r="DD28" i="1"/>
  <c r="CZ28" i="1"/>
  <c r="DB28" i="1" s="1"/>
  <c r="DC28" i="1" s="1"/>
  <c r="CW28" i="1"/>
  <c r="CQ28" i="1"/>
  <c r="CO28" i="1"/>
  <c r="CN28" i="1"/>
  <c r="CL28" i="1"/>
  <c r="CK28" i="1"/>
  <c r="CI28" i="1"/>
  <c r="CH28" i="1"/>
  <c r="CF28" i="1"/>
  <c r="CU28" i="1" s="1"/>
  <c r="CE28" i="1"/>
  <c r="CB28" i="1"/>
  <c r="BY28" i="1"/>
  <c r="BV28" i="1"/>
  <c r="BQ28" i="1"/>
  <c r="BP28" i="1"/>
  <c r="BN28" i="1"/>
  <c r="BM28" i="1"/>
  <c r="BJ28" i="1"/>
  <c r="BE28" i="1"/>
  <c r="BD28" i="1"/>
  <c r="BA28" i="1"/>
  <c r="AY28" i="1"/>
  <c r="AX28" i="1"/>
  <c r="AU28" i="1"/>
  <c r="AR28" i="1"/>
  <c r="AP28" i="1"/>
  <c r="AO28" i="1"/>
  <c r="AJ28" i="1"/>
  <c r="AM28" i="1" s="1"/>
  <c r="AI28" i="1"/>
  <c r="AF28" i="1"/>
  <c r="AC28" i="1"/>
  <c r="Z28" i="1"/>
  <c r="AK28" i="1" s="1"/>
  <c r="AL28" i="1" s="1"/>
  <c r="W28" i="1"/>
  <c r="U28" i="1"/>
  <c r="Q28" i="1"/>
  <c r="N28" i="1"/>
  <c r="K28" i="1"/>
  <c r="H28" i="1"/>
  <c r="E28" i="1"/>
  <c r="CZ27" i="1"/>
  <c r="CX27" i="1"/>
  <c r="DD27" i="1" s="1"/>
  <c r="CW27" i="1"/>
  <c r="CR27" i="1"/>
  <c r="CQ27" i="1"/>
  <c r="CN27" i="1"/>
  <c r="CL27" i="1"/>
  <c r="CK27" i="1"/>
  <c r="CI27" i="1"/>
  <c r="CH27" i="1"/>
  <c r="CF27" i="1"/>
  <c r="CE27" i="1"/>
  <c r="CC27" i="1"/>
  <c r="CB27" i="1"/>
  <c r="BZ27" i="1"/>
  <c r="BY27" i="1"/>
  <c r="CS27" i="1" s="1"/>
  <c r="CT27" i="1" s="1"/>
  <c r="BW27" i="1"/>
  <c r="BV27" i="1"/>
  <c r="BQ27" i="1"/>
  <c r="BP27" i="1"/>
  <c r="BM27" i="1"/>
  <c r="BK27" i="1"/>
  <c r="BT27" i="1" s="1"/>
  <c r="BJ27" i="1"/>
  <c r="BR27" i="1" s="1"/>
  <c r="BS27" i="1" s="1"/>
  <c r="BE27" i="1"/>
  <c r="BD27" i="1"/>
  <c r="BB27" i="1"/>
  <c r="BA27" i="1"/>
  <c r="AY27" i="1"/>
  <c r="AX27" i="1"/>
  <c r="AV27" i="1"/>
  <c r="BH27" i="1" s="1"/>
  <c r="AU27" i="1"/>
  <c r="AR27" i="1"/>
  <c r="AP27" i="1"/>
  <c r="AO27" i="1"/>
  <c r="BF27" i="1" s="1"/>
  <c r="BG27" i="1" s="1"/>
  <c r="AJ27" i="1"/>
  <c r="AI27" i="1"/>
  <c r="AF27" i="1"/>
  <c r="AC27" i="1"/>
  <c r="AA27" i="1"/>
  <c r="Z27" i="1"/>
  <c r="X27" i="1"/>
  <c r="W27" i="1"/>
  <c r="AK27" i="1" s="1"/>
  <c r="AL27" i="1" s="1"/>
  <c r="Q27" i="1"/>
  <c r="O27" i="1"/>
  <c r="N27" i="1"/>
  <c r="L27" i="1"/>
  <c r="K27" i="1"/>
  <c r="H27" i="1"/>
  <c r="F27" i="1"/>
  <c r="E27" i="1"/>
  <c r="DD26" i="1"/>
  <c r="DA26" i="1"/>
  <c r="CZ26" i="1"/>
  <c r="CW26" i="1"/>
  <c r="CR26" i="1"/>
  <c r="CQ26" i="1"/>
  <c r="CN26" i="1"/>
  <c r="CK26" i="1"/>
  <c r="CI26" i="1"/>
  <c r="CH26" i="1"/>
  <c r="CF26" i="1"/>
  <c r="CE26" i="1"/>
  <c r="CC26" i="1"/>
  <c r="CB26" i="1"/>
  <c r="BY26" i="1"/>
  <c r="BW26" i="1"/>
  <c r="BV26" i="1"/>
  <c r="BQ26" i="1"/>
  <c r="BP26" i="1"/>
  <c r="BN26" i="1"/>
  <c r="BM26" i="1"/>
  <c r="BK26" i="1"/>
  <c r="BT26" i="1" s="1"/>
  <c r="BJ26" i="1"/>
  <c r="BE26" i="1"/>
  <c r="BD26" i="1"/>
  <c r="BB26" i="1"/>
  <c r="BA26" i="1"/>
  <c r="AY26" i="1"/>
  <c r="AX26" i="1"/>
  <c r="AV26" i="1"/>
  <c r="AU26" i="1"/>
  <c r="AS26" i="1"/>
  <c r="AR26" i="1"/>
  <c r="AP26" i="1"/>
  <c r="BH26" i="1" s="1"/>
  <c r="AO26" i="1"/>
  <c r="BF26" i="1" s="1"/>
  <c r="BG26" i="1" s="1"/>
  <c r="AJ26" i="1"/>
  <c r="AI26" i="1"/>
  <c r="AF26" i="1"/>
  <c r="AD26" i="1"/>
  <c r="AC26" i="1"/>
  <c r="Z26" i="1"/>
  <c r="X26" i="1"/>
  <c r="W26" i="1"/>
  <c r="Q26" i="1"/>
  <c r="N26" i="1"/>
  <c r="L26" i="1"/>
  <c r="K26" i="1"/>
  <c r="H26" i="1"/>
  <c r="F26" i="1"/>
  <c r="E26" i="1"/>
  <c r="DD25" i="1"/>
  <c r="CZ25" i="1"/>
  <c r="CW25" i="1"/>
  <c r="CQ25" i="1"/>
  <c r="CN25" i="1"/>
  <c r="CL25" i="1"/>
  <c r="CK25" i="1"/>
  <c r="CI25" i="1"/>
  <c r="CH25" i="1"/>
  <c r="CE25" i="1"/>
  <c r="CB25" i="1"/>
  <c r="BY25" i="1"/>
  <c r="BW25" i="1"/>
  <c r="CU25" i="1" s="1"/>
  <c r="BV25" i="1"/>
  <c r="BQ25" i="1"/>
  <c r="BT25" i="1" s="1"/>
  <c r="BP25" i="1"/>
  <c r="BM25" i="1"/>
  <c r="BJ25" i="1"/>
  <c r="BE25" i="1"/>
  <c r="BD25" i="1"/>
  <c r="BA25" i="1"/>
  <c r="AY25" i="1"/>
  <c r="AX25" i="1"/>
  <c r="AU25" i="1"/>
  <c r="AR25" i="1"/>
  <c r="AP25" i="1"/>
  <c r="AO25" i="1"/>
  <c r="BF25" i="1" s="1"/>
  <c r="BG25" i="1" s="1"/>
  <c r="AJ25" i="1"/>
  <c r="AM25" i="1" s="1"/>
  <c r="AI25" i="1"/>
  <c r="AF25" i="1"/>
  <c r="AC25" i="1"/>
  <c r="AK25" i="1" s="1"/>
  <c r="AL25" i="1" s="1"/>
  <c r="Z25" i="1"/>
  <c r="W25" i="1"/>
  <c r="Q25" i="1"/>
  <c r="N25" i="1"/>
  <c r="K25" i="1"/>
  <c r="I25" i="1"/>
  <c r="U25" i="1" s="1"/>
  <c r="H25" i="1"/>
  <c r="E25" i="1"/>
  <c r="DD24" i="1"/>
  <c r="DB24" i="1"/>
  <c r="DC24" i="1" s="1"/>
  <c r="CZ24" i="1"/>
  <c r="CW24" i="1"/>
  <c r="CQ24" i="1"/>
  <c r="CN24" i="1"/>
  <c r="CL24" i="1"/>
  <c r="CK24" i="1"/>
  <c r="CI24" i="1"/>
  <c r="CH24" i="1"/>
  <c r="CE24" i="1"/>
  <c r="CB24" i="1"/>
  <c r="BY24" i="1"/>
  <c r="BV24" i="1"/>
  <c r="BQ24" i="1"/>
  <c r="BT24" i="1" s="1"/>
  <c r="BP24" i="1"/>
  <c r="BM24" i="1"/>
  <c r="BJ24" i="1"/>
  <c r="BE24" i="1"/>
  <c r="BD24" i="1"/>
  <c r="BB24" i="1"/>
  <c r="BA24" i="1"/>
  <c r="AX24" i="1"/>
  <c r="AV24" i="1"/>
  <c r="AU24" i="1"/>
  <c r="AR24" i="1"/>
  <c r="AP24" i="1"/>
  <c r="AO24" i="1"/>
  <c r="AJ24" i="1"/>
  <c r="AM24" i="1" s="1"/>
  <c r="AI24" i="1"/>
  <c r="AF24" i="1"/>
  <c r="AC24" i="1"/>
  <c r="Z24" i="1"/>
  <c r="W24" i="1"/>
  <c r="AK24" i="1" s="1"/>
  <c r="AL24" i="1" s="1"/>
  <c r="Q24" i="1"/>
  <c r="N24" i="1"/>
  <c r="L24" i="1"/>
  <c r="K24" i="1"/>
  <c r="H24" i="1"/>
  <c r="F24" i="1"/>
  <c r="E24" i="1"/>
  <c r="DB23" i="1"/>
  <c r="DC23" i="1" s="1"/>
  <c r="CZ23" i="1"/>
  <c r="CX23" i="1"/>
  <c r="DD23" i="1" s="1"/>
  <c r="CW23" i="1"/>
  <c r="CR23" i="1"/>
  <c r="CQ23" i="1"/>
  <c r="CN23" i="1"/>
  <c r="CL23" i="1"/>
  <c r="CK23" i="1"/>
  <c r="CI23" i="1"/>
  <c r="CH23" i="1"/>
  <c r="CF23" i="1"/>
  <c r="CE23" i="1"/>
  <c r="CC23" i="1"/>
  <c r="CB23" i="1"/>
  <c r="BY23" i="1"/>
  <c r="BV23" i="1"/>
  <c r="BQ23" i="1"/>
  <c r="BP23" i="1"/>
  <c r="BN23" i="1"/>
  <c r="BT23" i="1" s="1"/>
  <c r="BM23" i="1"/>
  <c r="BK23" i="1"/>
  <c r="BJ23" i="1"/>
  <c r="BR23" i="1" s="1"/>
  <c r="BS23" i="1" s="1"/>
  <c r="BE23" i="1"/>
  <c r="BD23" i="1"/>
  <c r="BA23" i="1"/>
  <c r="AY23" i="1"/>
  <c r="AX23" i="1"/>
  <c r="AV23" i="1"/>
  <c r="AU23" i="1"/>
  <c r="AS23" i="1"/>
  <c r="AR23" i="1"/>
  <c r="BF23" i="1" s="1"/>
  <c r="BG23" i="1" s="1"/>
  <c r="AP23" i="1"/>
  <c r="AO23" i="1"/>
  <c r="AJ23" i="1"/>
  <c r="AI23" i="1"/>
  <c r="AF23" i="1"/>
  <c r="AD23" i="1"/>
  <c r="AC23" i="1"/>
  <c r="Z23" i="1"/>
  <c r="X23" i="1"/>
  <c r="W23" i="1"/>
  <c r="Q23" i="1"/>
  <c r="N23" i="1"/>
  <c r="L23" i="1"/>
  <c r="K23" i="1"/>
  <c r="H23" i="1"/>
  <c r="F23" i="1"/>
  <c r="U23" i="1" s="1"/>
  <c r="E23" i="1"/>
  <c r="DD22" i="1"/>
  <c r="CZ22" i="1"/>
  <c r="DB22" i="1" s="1"/>
  <c r="DC22" i="1" s="1"/>
  <c r="CW22" i="1"/>
  <c r="CR22" i="1"/>
  <c r="CQ22" i="1"/>
  <c r="CN22" i="1"/>
  <c r="CL22" i="1"/>
  <c r="CU22" i="1" s="1"/>
  <c r="CK22" i="1"/>
  <c r="CH22" i="1"/>
  <c r="CE22" i="1"/>
  <c r="CB22" i="1"/>
  <c r="BY22" i="1"/>
  <c r="BV22" i="1"/>
  <c r="BT22" i="1"/>
  <c r="BQ22" i="1"/>
  <c r="BP22" i="1"/>
  <c r="BM22" i="1"/>
  <c r="BJ22" i="1"/>
  <c r="BD22" i="1"/>
  <c r="BA22" i="1"/>
  <c r="AX22" i="1"/>
  <c r="AU22" i="1"/>
  <c r="AR22" i="1"/>
  <c r="AP22" i="1"/>
  <c r="BH22" i="1" s="1"/>
  <c r="AO22" i="1"/>
  <c r="BF22" i="1" s="1"/>
  <c r="BG22" i="1" s="1"/>
  <c r="AM22" i="1"/>
  <c r="AI22" i="1"/>
  <c r="AF22" i="1"/>
  <c r="AC22" i="1"/>
  <c r="Z22" i="1"/>
  <c r="W22" i="1"/>
  <c r="Q22" i="1"/>
  <c r="N22" i="1"/>
  <c r="L22" i="1"/>
  <c r="U22" i="1" s="1"/>
  <c r="K22" i="1"/>
  <c r="H22" i="1"/>
  <c r="E22" i="1"/>
  <c r="DA21" i="1"/>
  <c r="CZ21" i="1"/>
  <c r="CX21" i="1"/>
  <c r="DD21" i="1" s="1"/>
  <c r="CW21" i="1"/>
  <c r="CQ21" i="1"/>
  <c r="CO21" i="1"/>
  <c r="CN21" i="1"/>
  <c r="CL21" i="1"/>
  <c r="CK21" i="1"/>
  <c r="CI21" i="1"/>
  <c r="CH21" i="1"/>
  <c r="CF21" i="1"/>
  <c r="CE21" i="1"/>
  <c r="CC21" i="1"/>
  <c r="CB21" i="1"/>
  <c r="BY21" i="1"/>
  <c r="BW21" i="1"/>
  <c r="BV21" i="1"/>
  <c r="BQ21" i="1"/>
  <c r="BT21" i="1" s="1"/>
  <c r="BP21" i="1"/>
  <c r="BN21" i="1"/>
  <c r="BM21" i="1"/>
  <c r="BJ21" i="1"/>
  <c r="BR21" i="1" s="1"/>
  <c r="BS21" i="1" s="1"/>
  <c r="BE21" i="1"/>
  <c r="BD21" i="1"/>
  <c r="BA21" i="1"/>
  <c r="AY21" i="1"/>
  <c r="AX21" i="1"/>
  <c r="AV21" i="1"/>
  <c r="AU21" i="1"/>
  <c r="AS21" i="1"/>
  <c r="AR21" i="1"/>
  <c r="AP21" i="1"/>
  <c r="AO21" i="1"/>
  <c r="AM21" i="1"/>
  <c r="AJ21" i="1"/>
  <c r="AI21" i="1"/>
  <c r="AF21" i="1"/>
  <c r="AC21" i="1"/>
  <c r="AK21" i="1" s="1"/>
  <c r="AL21" i="1" s="1"/>
  <c r="Z21" i="1"/>
  <c r="W21" i="1"/>
  <c r="Q21" i="1"/>
  <c r="N21" i="1"/>
  <c r="K21" i="1"/>
  <c r="I21" i="1"/>
  <c r="U21" i="1" s="1"/>
  <c r="H21" i="1"/>
  <c r="F21" i="1"/>
  <c r="E21" i="1"/>
  <c r="DD20" i="1"/>
  <c r="CZ20" i="1"/>
  <c r="CW20" i="1"/>
  <c r="CR20" i="1"/>
  <c r="CQ20" i="1"/>
  <c r="CO20" i="1"/>
  <c r="CN20" i="1"/>
  <c r="CL20" i="1"/>
  <c r="CK20" i="1"/>
  <c r="CI20" i="1"/>
  <c r="CH20" i="1"/>
  <c r="CF20" i="1"/>
  <c r="CE20" i="1"/>
  <c r="CC20" i="1"/>
  <c r="CB20" i="1"/>
  <c r="BY20" i="1"/>
  <c r="BW20" i="1"/>
  <c r="BV20" i="1"/>
  <c r="CS20" i="1" s="1"/>
  <c r="CT20" i="1" s="1"/>
  <c r="BQ20" i="1"/>
  <c r="BP20" i="1"/>
  <c r="BM20" i="1"/>
  <c r="BK20" i="1"/>
  <c r="BT20" i="1" s="1"/>
  <c r="BJ20" i="1"/>
  <c r="BE20" i="1"/>
  <c r="BD20" i="1"/>
  <c r="BB20" i="1"/>
  <c r="BA20" i="1"/>
  <c r="AY20" i="1"/>
  <c r="AX20" i="1"/>
  <c r="AV20" i="1"/>
  <c r="AU20" i="1"/>
  <c r="AR20" i="1"/>
  <c r="AP20" i="1"/>
  <c r="AO20" i="1"/>
  <c r="BF20" i="1" s="1"/>
  <c r="BG20" i="1" s="1"/>
  <c r="AJ20" i="1"/>
  <c r="AI20" i="1"/>
  <c r="AG20" i="1"/>
  <c r="AM20" i="1" s="1"/>
  <c r="AF20" i="1"/>
  <c r="AC20" i="1"/>
  <c r="Z20" i="1"/>
  <c r="W20" i="1"/>
  <c r="Q20" i="1"/>
  <c r="N20" i="1"/>
  <c r="K20" i="1"/>
  <c r="H20" i="1"/>
  <c r="F20" i="1"/>
  <c r="U20" i="1" s="1"/>
  <c r="E20" i="1"/>
  <c r="DD19" i="1"/>
  <c r="CZ19" i="1"/>
  <c r="CW19" i="1"/>
  <c r="DB19" i="1" s="1"/>
  <c r="DC19" i="1" s="1"/>
  <c r="CR19" i="1"/>
  <c r="CQ19" i="1"/>
  <c r="CO19" i="1"/>
  <c r="CN19" i="1"/>
  <c r="CL19" i="1"/>
  <c r="CK19" i="1"/>
  <c r="CI19" i="1"/>
  <c r="CH19" i="1"/>
  <c r="CF19" i="1"/>
  <c r="CE19" i="1"/>
  <c r="CC19" i="1"/>
  <c r="CB19" i="1"/>
  <c r="BY19" i="1"/>
  <c r="BW19" i="1"/>
  <c r="BV19" i="1"/>
  <c r="BQ19" i="1"/>
  <c r="BP19" i="1"/>
  <c r="BN19" i="1"/>
  <c r="BM19" i="1"/>
  <c r="BK19" i="1"/>
  <c r="BT19" i="1" s="1"/>
  <c r="BJ19" i="1"/>
  <c r="BE19" i="1"/>
  <c r="BD19" i="1"/>
  <c r="BA19" i="1"/>
  <c r="AY19" i="1"/>
  <c r="AX19" i="1"/>
  <c r="AV19" i="1"/>
  <c r="BH19" i="1" s="1"/>
  <c r="AU19" i="1"/>
  <c r="AR19" i="1"/>
  <c r="AP19" i="1"/>
  <c r="AO19" i="1"/>
  <c r="AJ19" i="1"/>
  <c r="AM19" i="1" s="1"/>
  <c r="AI19" i="1"/>
  <c r="AF19" i="1"/>
  <c r="AC19" i="1"/>
  <c r="Z19" i="1"/>
  <c r="AK19" i="1" s="1"/>
  <c r="AL19" i="1" s="1"/>
  <c r="W19" i="1"/>
  <c r="U19" i="1"/>
  <c r="Q19" i="1"/>
  <c r="N19" i="1"/>
  <c r="K19" i="1"/>
  <c r="H19" i="1"/>
  <c r="E19" i="1"/>
  <c r="DD18" i="1"/>
  <c r="CZ18" i="1"/>
  <c r="CW18" i="1"/>
  <c r="CR18" i="1"/>
  <c r="CQ18" i="1"/>
  <c r="CN18" i="1"/>
  <c r="CL18" i="1"/>
  <c r="CK18" i="1"/>
  <c r="CH18" i="1"/>
  <c r="CE18" i="1"/>
  <c r="CB18" i="1"/>
  <c r="BY18" i="1"/>
  <c r="BV18" i="1"/>
  <c r="BT18" i="1"/>
  <c r="BP18" i="1"/>
  <c r="BM18" i="1"/>
  <c r="BJ18" i="1"/>
  <c r="BR18" i="1" s="1"/>
  <c r="BS18" i="1" s="1"/>
  <c r="BH18" i="1"/>
  <c r="BD18" i="1"/>
  <c r="BA18" i="1"/>
  <c r="AX18" i="1"/>
  <c r="AU18" i="1"/>
  <c r="AR18" i="1"/>
  <c r="AO18" i="1"/>
  <c r="BF18" i="1" s="1"/>
  <c r="BG18" i="1" s="1"/>
  <c r="AJ18" i="1"/>
  <c r="AM18" i="1" s="1"/>
  <c r="AI18" i="1"/>
  <c r="AF18" i="1"/>
  <c r="AC18" i="1"/>
  <c r="Z18" i="1"/>
  <c r="W18" i="1"/>
  <c r="U18" i="1"/>
  <c r="Q18" i="1"/>
  <c r="N18" i="1"/>
  <c r="L18" i="1"/>
  <c r="K18" i="1"/>
  <c r="H18" i="1"/>
  <c r="E18" i="1"/>
  <c r="CZ17" i="1"/>
  <c r="CX17" i="1"/>
  <c r="DD17" i="1" s="1"/>
  <c r="CW17" i="1"/>
  <c r="DB17" i="1" s="1"/>
  <c r="DC17" i="1" s="1"/>
  <c r="CR17" i="1"/>
  <c r="CQ17" i="1"/>
  <c r="CO17" i="1"/>
  <c r="CN17" i="1"/>
  <c r="CL17" i="1"/>
  <c r="CK17" i="1"/>
  <c r="CI17" i="1"/>
  <c r="CH17" i="1"/>
  <c r="CF17" i="1"/>
  <c r="CE17" i="1"/>
  <c r="CC17" i="1"/>
  <c r="CB17" i="1"/>
  <c r="BZ17" i="1"/>
  <c r="CU17" i="1" s="1"/>
  <c r="BY17" i="1"/>
  <c r="CS17" i="1" s="1"/>
  <c r="CT17" i="1" s="1"/>
  <c r="BV17" i="1"/>
  <c r="BQ17" i="1"/>
  <c r="BP17" i="1"/>
  <c r="BN17" i="1"/>
  <c r="BM17" i="1"/>
  <c r="BK17" i="1"/>
  <c r="BT17" i="1" s="1"/>
  <c r="BJ17" i="1"/>
  <c r="BE17" i="1"/>
  <c r="BD17" i="1"/>
  <c r="BA17" i="1"/>
  <c r="AX17" i="1"/>
  <c r="AV17" i="1"/>
  <c r="AU17" i="1"/>
  <c r="AS17" i="1"/>
  <c r="AR17" i="1"/>
  <c r="AP17" i="1"/>
  <c r="AO17" i="1"/>
  <c r="AJ17" i="1"/>
  <c r="AI17" i="1"/>
  <c r="AG17" i="1"/>
  <c r="AF17" i="1"/>
  <c r="AC17" i="1"/>
  <c r="AA17" i="1"/>
  <c r="Z17" i="1"/>
  <c r="X17" i="1"/>
  <c r="AM17" i="1" s="1"/>
  <c r="W17" i="1"/>
  <c r="Q17" i="1"/>
  <c r="N17" i="1"/>
  <c r="L17" i="1"/>
  <c r="K17" i="1"/>
  <c r="H17" i="1"/>
  <c r="F17" i="1"/>
  <c r="E17" i="1"/>
  <c r="DD16" i="1"/>
  <c r="CZ16" i="1"/>
  <c r="CW16" i="1"/>
  <c r="CR16" i="1"/>
  <c r="CQ16" i="1"/>
  <c r="CN16" i="1"/>
  <c r="CL16" i="1"/>
  <c r="CK16" i="1"/>
  <c r="CI16" i="1"/>
  <c r="CH16" i="1"/>
  <c r="CE16" i="1"/>
  <c r="CB16" i="1"/>
  <c r="BY16" i="1"/>
  <c r="BW16" i="1"/>
  <c r="BV16" i="1"/>
  <c r="BQ16" i="1"/>
  <c r="BT16" i="1" s="1"/>
  <c r="BP16" i="1"/>
  <c r="BM16" i="1"/>
  <c r="BJ16" i="1"/>
  <c r="BR16" i="1" s="1"/>
  <c r="BS16" i="1" s="1"/>
  <c r="BD16" i="1"/>
  <c r="BB16" i="1"/>
  <c r="BA16" i="1"/>
  <c r="AX16" i="1"/>
  <c r="AU16" i="1"/>
  <c r="AR16" i="1"/>
  <c r="AP16" i="1"/>
  <c r="AO16" i="1"/>
  <c r="AM16" i="1"/>
  <c r="AJ16" i="1"/>
  <c r="AI16" i="1"/>
  <c r="AG16" i="1"/>
  <c r="AF16" i="1"/>
  <c r="AC16" i="1"/>
  <c r="Z16" i="1"/>
  <c r="X16" i="1"/>
  <c r="W16" i="1"/>
  <c r="AK16" i="1" s="1"/>
  <c r="AL16" i="1" s="1"/>
  <c r="U16" i="1"/>
  <c r="Q16" i="1"/>
  <c r="N16" i="1"/>
  <c r="K16" i="1"/>
  <c r="H16" i="1"/>
  <c r="E16" i="1"/>
  <c r="DD15" i="1"/>
  <c r="CZ15" i="1"/>
  <c r="CW15" i="1"/>
  <c r="CQ15" i="1"/>
  <c r="CO15" i="1"/>
  <c r="CN15" i="1"/>
  <c r="CL15" i="1"/>
  <c r="CK15" i="1"/>
  <c r="CI15" i="1"/>
  <c r="CH15" i="1"/>
  <c r="CF15" i="1"/>
  <c r="CE15" i="1"/>
  <c r="CC15" i="1"/>
  <c r="CU15" i="1" s="1"/>
  <c r="CB15" i="1"/>
  <c r="BY15" i="1"/>
  <c r="BW15" i="1"/>
  <c r="BV15" i="1"/>
  <c r="CS15" i="1" s="1"/>
  <c r="CT15" i="1" s="1"/>
  <c r="BQ15" i="1"/>
  <c r="BT15" i="1" s="1"/>
  <c r="BP15" i="1"/>
  <c r="BM15" i="1"/>
  <c r="BJ15" i="1"/>
  <c r="BR15" i="1" s="1"/>
  <c r="BS15" i="1" s="1"/>
  <c r="BE15" i="1"/>
  <c r="BD15" i="1"/>
  <c r="BA15" i="1"/>
  <c r="AY15" i="1"/>
  <c r="AX15" i="1"/>
  <c r="AU15" i="1"/>
  <c r="AR15" i="1"/>
  <c r="AP15" i="1"/>
  <c r="BH15" i="1" s="1"/>
  <c r="AO15" i="1"/>
  <c r="AJ15" i="1"/>
  <c r="AM15" i="1" s="1"/>
  <c r="AI15" i="1"/>
  <c r="AF15" i="1"/>
  <c r="AC15" i="1"/>
  <c r="Z15" i="1"/>
  <c r="W15" i="1"/>
  <c r="U15" i="1"/>
  <c r="Q15" i="1"/>
  <c r="N15" i="1"/>
  <c r="K15" i="1"/>
  <c r="H15" i="1"/>
  <c r="E15" i="1"/>
  <c r="DC14" i="1"/>
  <c r="DA14" i="1"/>
  <c r="DD14" i="1" s="1"/>
  <c r="CZ14" i="1"/>
  <c r="CW14" i="1"/>
  <c r="DB14" i="1" s="1"/>
  <c r="CQ14" i="1"/>
  <c r="CN14" i="1"/>
  <c r="CL14" i="1"/>
  <c r="CK14" i="1"/>
  <c r="CI14" i="1"/>
  <c r="CH14" i="1"/>
  <c r="CF14" i="1"/>
  <c r="CE14" i="1"/>
  <c r="CC14" i="1"/>
  <c r="CB14" i="1"/>
  <c r="BY14" i="1"/>
  <c r="BW14" i="1"/>
  <c r="BV14" i="1"/>
  <c r="CS14" i="1" s="1"/>
  <c r="CT14" i="1" s="1"/>
  <c r="BQ14" i="1"/>
  <c r="BP14" i="1"/>
  <c r="BN14" i="1"/>
  <c r="BM14" i="1"/>
  <c r="BK14" i="1"/>
  <c r="BJ14" i="1"/>
  <c r="BE14" i="1"/>
  <c r="BD14" i="1"/>
  <c r="BA14" i="1"/>
  <c r="AY14" i="1"/>
  <c r="AX14" i="1"/>
  <c r="AU14" i="1"/>
  <c r="AS14" i="1"/>
  <c r="AR14" i="1"/>
  <c r="AP14" i="1"/>
  <c r="AO14" i="1"/>
  <c r="AJ14" i="1"/>
  <c r="AM14" i="1" s="1"/>
  <c r="AI14" i="1"/>
  <c r="AF14" i="1"/>
  <c r="AC14" i="1"/>
  <c r="Z14" i="1"/>
  <c r="W14" i="1"/>
  <c r="Q14" i="1"/>
  <c r="O14" i="1"/>
  <c r="N14" i="1"/>
  <c r="L14" i="1"/>
  <c r="K14" i="1"/>
  <c r="I14" i="1"/>
  <c r="U14" i="1" s="1"/>
  <c r="H14" i="1"/>
  <c r="E14" i="1"/>
  <c r="DD13" i="1"/>
  <c r="CZ13" i="1"/>
  <c r="CW13" i="1"/>
  <c r="CR13" i="1"/>
  <c r="CQ13" i="1"/>
  <c r="CN13" i="1"/>
  <c r="CL13" i="1"/>
  <c r="CK13" i="1"/>
  <c r="CI13" i="1"/>
  <c r="CH13" i="1"/>
  <c r="CF13" i="1"/>
  <c r="CE13" i="1"/>
  <c r="CC13" i="1"/>
  <c r="CU13" i="1" s="1"/>
  <c r="CB13" i="1"/>
  <c r="BY13" i="1"/>
  <c r="BW13" i="1"/>
  <c r="BV13" i="1"/>
  <c r="BQ13" i="1"/>
  <c r="BT13" i="1" s="1"/>
  <c r="BP13" i="1"/>
  <c r="BM13" i="1"/>
  <c r="BJ13" i="1"/>
  <c r="BH13" i="1"/>
  <c r="BD13" i="1"/>
  <c r="BA13" i="1"/>
  <c r="AY13" i="1"/>
  <c r="AX13" i="1"/>
  <c r="AU13" i="1"/>
  <c r="AR13" i="1"/>
  <c r="AP13" i="1"/>
  <c r="AO13" i="1"/>
  <c r="BF13" i="1" s="1"/>
  <c r="BG13" i="1" s="1"/>
  <c r="AJ13" i="1"/>
  <c r="AM13" i="1" s="1"/>
  <c r="AI13" i="1"/>
  <c r="AF13" i="1"/>
  <c r="AC13" i="1"/>
  <c r="Z13" i="1"/>
  <c r="W13" i="1"/>
  <c r="Q13" i="1"/>
  <c r="N13" i="1"/>
  <c r="K13" i="1"/>
  <c r="I13" i="1"/>
  <c r="U13" i="1" s="1"/>
  <c r="H13" i="1"/>
  <c r="S13" i="1" s="1"/>
  <c r="T13" i="1" s="1"/>
  <c r="E13" i="1"/>
  <c r="DD12" i="1"/>
  <c r="CZ12" i="1"/>
  <c r="DB12" i="1" s="1"/>
  <c r="DC12" i="1" s="1"/>
  <c r="CW12" i="1"/>
  <c r="CR12" i="1"/>
  <c r="CQ12" i="1"/>
  <c r="CN12" i="1"/>
  <c r="CL12" i="1"/>
  <c r="CK12" i="1"/>
  <c r="CI12" i="1"/>
  <c r="CH12" i="1"/>
  <c r="CF12" i="1"/>
  <c r="CE12" i="1"/>
  <c r="CC12" i="1"/>
  <c r="CB12" i="1"/>
  <c r="BY12" i="1"/>
  <c r="BW12" i="1"/>
  <c r="BV12" i="1"/>
  <c r="BQ12" i="1"/>
  <c r="BP12" i="1"/>
  <c r="BM12" i="1"/>
  <c r="BK12" i="1"/>
  <c r="BT12" i="1" s="1"/>
  <c r="BJ12" i="1"/>
  <c r="BE12" i="1"/>
  <c r="BD12" i="1"/>
  <c r="BB12" i="1"/>
  <c r="BA12" i="1"/>
  <c r="AY12" i="1"/>
  <c r="AX12" i="1"/>
  <c r="AV12" i="1"/>
  <c r="AU12" i="1"/>
  <c r="AR12" i="1"/>
  <c r="AP12" i="1"/>
  <c r="BH12" i="1" s="1"/>
  <c r="AO12" i="1"/>
  <c r="AJ12" i="1"/>
  <c r="AM12" i="1" s="1"/>
  <c r="AI12" i="1"/>
  <c r="AG12" i="1"/>
  <c r="AF12" i="1"/>
  <c r="AC12" i="1"/>
  <c r="Z12" i="1"/>
  <c r="W12" i="1"/>
  <c r="Q12" i="1"/>
  <c r="N12" i="1"/>
  <c r="L12" i="1"/>
  <c r="K12" i="1"/>
  <c r="H12" i="1"/>
  <c r="F12" i="1"/>
  <c r="U12" i="1" s="1"/>
  <c r="E12" i="1"/>
  <c r="DD11" i="1"/>
  <c r="CZ11" i="1"/>
  <c r="CW11" i="1"/>
  <c r="DB11" i="1" s="1"/>
  <c r="DC11" i="1" s="1"/>
  <c r="CQ11" i="1"/>
  <c r="CN11" i="1"/>
  <c r="CL11" i="1"/>
  <c r="CU11" i="1" s="1"/>
  <c r="CK11" i="1"/>
  <c r="CH11" i="1"/>
  <c r="CE11" i="1"/>
  <c r="CB11" i="1"/>
  <c r="BY11" i="1"/>
  <c r="BV11" i="1"/>
  <c r="BT11" i="1"/>
  <c r="BP11" i="1"/>
  <c r="BM11" i="1"/>
  <c r="BJ11" i="1"/>
  <c r="BD11" i="1"/>
  <c r="BA11" i="1"/>
  <c r="AX11" i="1"/>
  <c r="AV11" i="1"/>
  <c r="AU11" i="1"/>
  <c r="AR11" i="1"/>
  <c r="AP11" i="1"/>
  <c r="BH11" i="1" s="1"/>
  <c r="AO11" i="1"/>
  <c r="AJ11" i="1"/>
  <c r="AM11" i="1" s="1"/>
  <c r="AI11" i="1"/>
  <c r="AF11" i="1"/>
  <c r="AC11" i="1"/>
  <c r="Z11" i="1"/>
  <c r="W11" i="1"/>
  <c r="U11" i="1"/>
  <c r="Q11" i="1"/>
  <c r="N11" i="1"/>
  <c r="K11" i="1"/>
  <c r="H11" i="1"/>
  <c r="E11" i="1"/>
  <c r="DD10" i="1"/>
  <c r="CZ10" i="1"/>
  <c r="CW10" i="1"/>
  <c r="CR10" i="1"/>
  <c r="CQ10" i="1"/>
  <c r="CO10" i="1"/>
  <c r="CN10" i="1"/>
  <c r="CL10" i="1"/>
  <c r="CK10" i="1"/>
  <c r="CI10" i="1"/>
  <c r="CH10" i="1"/>
  <c r="CF10" i="1"/>
  <c r="CE10" i="1"/>
  <c r="CC10" i="1"/>
  <c r="CB10" i="1"/>
  <c r="BY10" i="1"/>
  <c r="BW10" i="1"/>
  <c r="BV10" i="1"/>
  <c r="BQ10" i="1"/>
  <c r="BP10" i="1"/>
  <c r="BN10" i="1"/>
  <c r="BT10" i="1" s="1"/>
  <c r="BM10" i="1"/>
  <c r="BJ10" i="1"/>
  <c r="BE10" i="1"/>
  <c r="BD10" i="1"/>
  <c r="BA10" i="1"/>
  <c r="AY10" i="1"/>
  <c r="AX10" i="1"/>
  <c r="AV10" i="1"/>
  <c r="BH10" i="1" s="1"/>
  <c r="AU10" i="1"/>
  <c r="AR10" i="1"/>
  <c r="AP10" i="1"/>
  <c r="AO10" i="1"/>
  <c r="BF10" i="1" s="1"/>
  <c r="BG10" i="1" s="1"/>
  <c r="AJ10" i="1"/>
  <c r="AI10" i="1"/>
  <c r="AF10" i="1"/>
  <c r="AC10" i="1"/>
  <c r="AA10" i="1"/>
  <c r="Z10" i="1"/>
  <c r="X10" i="1"/>
  <c r="AM10" i="1" s="1"/>
  <c r="W10" i="1"/>
  <c r="AK10" i="1" s="1"/>
  <c r="AL10" i="1" s="1"/>
  <c r="Q10" i="1"/>
  <c r="N10" i="1"/>
  <c r="L10" i="1"/>
  <c r="U10" i="1" s="1"/>
  <c r="K10" i="1"/>
  <c r="H10" i="1"/>
  <c r="E10" i="1"/>
  <c r="S10" i="1" s="1"/>
  <c r="T10" i="1" s="1"/>
  <c r="DD9" i="1"/>
  <c r="CZ9" i="1"/>
  <c r="CW9" i="1"/>
  <c r="DB9" i="1" s="1"/>
  <c r="DC9" i="1" s="1"/>
  <c r="CR9" i="1"/>
  <c r="CQ9" i="1"/>
  <c r="CN9" i="1"/>
  <c r="CL9" i="1"/>
  <c r="CU9" i="1" s="1"/>
  <c r="CK9" i="1"/>
  <c r="CH9" i="1"/>
  <c r="CF9" i="1"/>
  <c r="CE9" i="1"/>
  <c r="CB9" i="1"/>
  <c r="BY9" i="1"/>
  <c r="BV9" i="1"/>
  <c r="BQ9" i="1"/>
  <c r="BT9" i="1" s="1"/>
  <c r="BP9" i="1"/>
  <c r="BM9" i="1"/>
  <c r="BJ9" i="1"/>
  <c r="BR9" i="1" s="1"/>
  <c r="BS9" i="1" s="1"/>
  <c r="BE9" i="1"/>
  <c r="BD9" i="1"/>
  <c r="BB9" i="1"/>
  <c r="BA9" i="1"/>
  <c r="AX9" i="1"/>
  <c r="AU9" i="1"/>
  <c r="AR9" i="1"/>
  <c r="AP9" i="1"/>
  <c r="AO9" i="1"/>
  <c r="BF9" i="1" s="1"/>
  <c r="BG9" i="1" s="1"/>
  <c r="AJ9" i="1"/>
  <c r="AM9" i="1" s="1"/>
  <c r="AI9" i="1"/>
  <c r="AF9" i="1"/>
  <c r="AC9" i="1"/>
  <c r="Z9" i="1"/>
  <c r="W9" i="1"/>
  <c r="Q9" i="1"/>
  <c r="N9" i="1"/>
  <c r="K9" i="1"/>
  <c r="I9" i="1"/>
  <c r="H9" i="1"/>
  <c r="S9" i="1" s="1"/>
  <c r="T9" i="1" s="1"/>
  <c r="F9" i="1"/>
  <c r="E9" i="1"/>
  <c r="DD8" i="1"/>
  <c r="DB8" i="1"/>
  <c r="DC8" i="1" s="1"/>
  <c r="CZ8" i="1"/>
  <c r="CW8" i="1"/>
  <c r="CQ8" i="1"/>
  <c r="CN8" i="1"/>
  <c r="CL8" i="1"/>
  <c r="CK8" i="1"/>
  <c r="CI8" i="1"/>
  <c r="CU8" i="1" s="1"/>
  <c r="CH8" i="1"/>
  <c r="CE8" i="1"/>
  <c r="CB8" i="1"/>
  <c r="BY8" i="1"/>
  <c r="BV8" i="1"/>
  <c r="CS8" i="1" s="1"/>
  <c r="CT8" i="1" s="1"/>
  <c r="BT8" i="1"/>
  <c r="BP8" i="1"/>
  <c r="BM8" i="1"/>
  <c r="BJ8" i="1"/>
  <c r="BE8" i="1"/>
  <c r="BD8" i="1"/>
  <c r="BA8" i="1"/>
  <c r="AY8" i="1"/>
  <c r="AX8" i="1"/>
  <c r="AV8" i="1"/>
  <c r="AU8" i="1"/>
  <c r="AR8" i="1"/>
  <c r="BF8" i="1" s="1"/>
  <c r="BG8" i="1" s="1"/>
  <c r="AP8" i="1"/>
  <c r="AO8" i="1"/>
  <c r="AJ8" i="1"/>
  <c r="AM8" i="1" s="1"/>
  <c r="AI8" i="1"/>
  <c r="AF8" i="1"/>
  <c r="AC8" i="1"/>
  <c r="Z8" i="1"/>
  <c r="W8" i="1"/>
  <c r="U8" i="1"/>
  <c r="Q8" i="1"/>
  <c r="N8" i="1"/>
  <c r="K8" i="1"/>
  <c r="H8" i="1"/>
  <c r="E8" i="1"/>
  <c r="CS12" i="1" l="1"/>
  <c r="CT12" i="1" s="1"/>
  <c r="AK17" i="1"/>
  <c r="AL17" i="1" s="1"/>
  <c r="CS18" i="1"/>
  <c r="CT18" i="1" s="1"/>
  <c r="BF19" i="1"/>
  <c r="BG19" i="1" s="1"/>
  <c r="CU20" i="1"/>
  <c r="CS21" i="1"/>
  <c r="CT21" i="1" s="1"/>
  <c r="BH8" i="1"/>
  <c r="AK9" i="1"/>
  <c r="AL9" i="1" s="1"/>
  <c r="S11" i="1"/>
  <c r="T11" i="1" s="1"/>
  <c r="AK11" i="1"/>
  <c r="AL11" i="1" s="1"/>
  <c r="S12" i="1"/>
  <c r="T12" i="1" s="1"/>
  <c r="AK12" i="1"/>
  <c r="AL12" i="1" s="1"/>
  <c r="BF12" i="1"/>
  <c r="BG12" i="1" s="1"/>
  <c r="BR12" i="1"/>
  <c r="BS12" i="1" s="1"/>
  <c r="DE12" i="1" s="1"/>
  <c r="DF12" i="1" s="1"/>
  <c r="CU12" i="1"/>
  <c r="DG12" i="1" s="1"/>
  <c r="S8" i="1"/>
  <c r="T8" i="1" s="1"/>
  <c r="U9" i="1"/>
  <c r="CS9" i="1"/>
  <c r="CT9" i="1" s="1"/>
  <c r="DE9" i="1" s="1"/>
  <c r="DF9" i="1" s="1"/>
  <c r="BR10" i="1"/>
  <c r="BS10" i="1" s="1"/>
  <c r="CS10" i="1"/>
  <c r="CT10" i="1" s="1"/>
  <c r="DB10" i="1"/>
  <c r="DC10" i="1" s="1"/>
  <c r="BF11" i="1"/>
  <c r="BG11" i="1" s="1"/>
  <c r="BR11" i="1"/>
  <c r="BS11" i="1" s="1"/>
  <c r="CS11" i="1"/>
  <c r="CT11" i="1" s="1"/>
  <c r="CS13" i="1"/>
  <c r="CT13" i="1" s="1"/>
  <c r="BT14" i="1"/>
  <c r="AK15" i="1"/>
  <c r="AL15" i="1" s="1"/>
  <c r="AK18" i="1"/>
  <c r="AL18" i="1" s="1"/>
  <c r="BR19" i="1"/>
  <c r="BS19" i="1" s="1"/>
  <c r="BR20" i="1"/>
  <c r="BS20" i="1" s="1"/>
  <c r="DB20" i="1"/>
  <c r="DC20" i="1" s="1"/>
  <c r="BH21" i="1"/>
  <c r="BR22" i="1"/>
  <c r="BS22" i="1" s="1"/>
  <c r="AM23" i="1"/>
  <c r="DG23" i="1" s="1"/>
  <c r="BH23" i="1"/>
  <c r="CU23" i="1"/>
  <c r="S24" i="1"/>
  <c r="T24" i="1" s="1"/>
  <c r="BF24" i="1"/>
  <c r="BG24" i="1" s="1"/>
  <c r="DE24" i="1" s="1"/>
  <c r="DF24" i="1" s="1"/>
  <c r="BH24" i="1"/>
  <c r="CS24" i="1"/>
  <c r="CT24" i="1" s="1"/>
  <c r="DB26" i="1"/>
  <c r="DC26" i="1" s="1"/>
  <c r="CU27" i="1"/>
  <c r="CS28" i="1"/>
  <c r="CT28" i="1" s="1"/>
  <c r="BH29" i="1"/>
  <c r="CS29" i="1"/>
  <c r="CT29" i="1" s="1"/>
  <c r="DB29" i="1"/>
  <c r="DC29" i="1" s="1"/>
  <c r="S30" i="1"/>
  <c r="T30" i="1" s="1"/>
  <c r="BR31" i="1"/>
  <c r="BS31" i="1" s="1"/>
  <c r="AM33" i="1"/>
  <c r="S35" i="1"/>
  <c r="T35" i="1" s="1"/>
  <c r="BF35" i="1"/>
  <c r="BG35" i="1" s="1"/>
  <c r="BH36" i="1"/>
  <c r="BR36" i="1"/>
  <c r="BS36" i="1" s="1"/>
  <c r="K11" i="2"/>
  <c r="L11" i="2" s="1"/>
  <c r="BR8" i="1"/>
  <c r="BS8" i="1" s="1"/>
  <c r="BH9" i="1"/>
  <c r="CU10" i="1"/>
  <c r="S15" i="1"/>
  <c r="T15" i="1" s="1"/>
  <c r="BF15" i="1"/>
  <c r="BG15" i="1" s="1"/>
  <c r="S18" i="1"/>
  <c r="T18" i="1" s="1"/>
  <c r="CS19" i="1"/>
  <c r="CT19" i="1" s="1"/>
  <c r="S20" i="1"/>
  <c r="T20" i="1" s="1"/>
  <c r="AK20" i="1"/>
  <c r="AL20" i="1" s="1"/>
  <c r="BH20" i="1"/>
  <c r="S22" i="1"/>
  <c r="T22" i="1" s="1"/>
  <c r="DE22" i="1" s="1"/>
  <c r="DF22" i="1" s="1"/>
  <c r="BH25" i="1"/>
  <c r="CS25" i="1"/>
  <c r="CT25" i="1" s="1"/>
  <c r="U27" i="1"/>
  <c r="AM27" i="1"/>
  <c r="BF28" i="1"/>
  <c r="BG28" i="1" s="1"/>
  <c r="AK29" i="1"/>
  <c r="AL29" i="1" s="1"/>
  <c r="DE29" i="1" s="1"/>
  <c r="DF29" i="1" s="1"/>
  <c r="S31" i="1"/>
  <c r="T31" i="1" s="1"/>
  <c r="AK31" i="1"/>
  <c r="AL31" i="1" s="1"/>
  <c r="CU31" i="1"/>
  <c r="BH32" i="1"/>
  <c r="DG32" i="1" s="1"/>
  <c r="CS32" i="1"/>
  <c r="CT32" i="1" s="1"/>
  <c r="CU32" i="1"/>
  <c r="U33" i="1"/>
  <c r="CU33" i="1"/>
  <c r="BH34" i="1"/>
  <c r="AK35" i="1"/>
  <c r="AL35" i="1" s="1"/>
  <c r="AK36" i="1"/>
  <c r="AL36" i="1" s="1"/>
  <c r="AM36" i="1"/>
  <c r="BH37" i="1"/>
  <c r="BT37" i="1"/>
  <c r="S14" i="1"/>
  <c r="T14" i="1" s="1"/>
  <c r="AK14" i="1"/>
  <c r="AL14" i="1" s="1"/>
  <c r="BF14" i="1"/>
  <c r="BG14" i="1" s="1"/>
  <c r="BH14" i="1"/>
  <c r="BR14" i="1"/>
  <c r="BS14" i="1" s="1"/>
  <c r="DB15" i="1"/>
  <c r="DC15" i="1" s="1"/>
  <c r="S16" i="1"/>
  <c r="T16" i="1" s="1"/>
  <c r="BH16" i="1"/>
  <c r="DB16" i="1"/>
  <c r="DC16" i="1" s="1"/>
  <c r="U17" i="1"/>
  <c r="BR17" i="1"/>
  <c r="BS17" i="1" s="1"/>
  <c r="DB18" i="1"/>
  <c r="DC18" i="1" s="1"/>
  <c r="S19" i="1"/>
  <c r="T19" i="1" s="1"/>
  <c r="CU19" i="1"/>
  <c r="S21" i="1"/>
  <c r="T21" i="1" s="1"/>
  <c r="AK22" i="1"/>
  <c r="AL22" i="1" s="1"/>
  <c r="S23" i="1"/>
  <c r="T23" i="1" s="1"/>
  <c r="AK23" i="1"/>
  <c r="AL23" i="1" s="1"/>
  <c r="U24" i="1"/>
  <c r="BR24" i="1"/>
  <c r="BS24" i="1" s="1"/>
  <c r="CU24" i="1"/>
  <c r="S25" i="1"/>
  <c r="T25" i="1" s="1"/>
  <c r="DB25" i="1"/>
  <c r="DC25" i="1" s="1"/>
  <c r="U26" i="1"/>
  <c r="BR26" i="1"/>
  <c r="BS26" i="1" s="1"/>
  <c r="CS26" i="1"/>
  <c r="CT26" i="1" s="1"/>
  <c r="DB27" i="1"/>
  <c r="DC27" i="1" s="1"/>
  <c r="S28" i="1"/>
  <c r="T28" i="1" s="1"/>
  <c r="BH28" i="1"/>
  <c r="BR28" i="1"/>
  <c r="BS28" i="1" s="1"/>
  <c r="BT28" i="1"/>
  <c r="BF29" i="1"/>
  <c r="BG29" i="1" s="1"/>
  <c r="BR29" i="1"/>
  <c r="BS29" i="1" s="1"/>
  <c r="CU29" i="1"/>
  <c r="BR30" i="1"/>
  <c r="BS30" i="1" s="1"/>
  <c r="CS30" i="1"/>
  <c r="CT30" i="1" s="1"/>
  <c r="CU30" i="1"/>
  <c r="BH31" i="1"/>
  <c r="BF32" i="1"/>
  <c r="BG32" i="1" s="1"/>
  <c r="BR32" i="1"/>
  <c r="BS32" i="1" s="1"/>
  <c r="AK33" i="1"/>
  <c r="AL33" i="1" s="1"/>
  <c r="BT33" i="1"/>
  <c r="CS33" i="1"/>
  <c r="CT33" i="1" s="1"/>
  <c r="DE33" i="1" s="1"/>
  <c r="DF33" i="1" s="1"/>
  <c r="DB33" i="1"/>
  <c r="DC33" i="1" s="1"/>
  <c r="S34" i="1"/>
  <c r="T34" i="1" s="1"/>
  <c r="BF34" i="1"/>
  <c r="BG34" i="1" s="1"/>
  <c r="BH35" i="1"/>
  <c r="BF36" i="1"/>
  <c r="BG36" i="1" s="1"/>
  <c r="BR37" i="1"/>
  <c r="BS37" i="1" s="1"/>
  <c r="CS37" i="1"/>
  <c r="CT37" i="1" s="1"/>
  <c r="J21" i="2"/>
  <c r="K16" i="2"/>
  <c r="L16" i="2" s="1"/>
  <c r="K27" i="2"/>
  <c r="L27" i="2" s="1"/>
  <c r="K30" i="2"/>
  <c r="L30" i="2" s="1"/>
  <c r="I23" i="2"/>
  <c r="K21" i="2" s="1"/>
  <c r="L21" i="2" s="1"/>
  <c r="J24" i="2"/>
  <c r="I26" i="2"/>
  <c r="J27" i="2"/>
  <c r="DE10" i="1"/>
  <c r="DF10" i="1" s="1"/>
  <c r="DE11" i="1"/>
  <c r="DF11" i="1" s="1"/>
  <c r="DG17" i="1"/>
  <c r="CU14" i="1"/>
  <c r="DE15" i="1"/>
  <c r="DF15" i="1" s="1"/>
  <c r="AK8" i="1"/>
  <c r="AL8" i="1" s="1"/>
  <c r="DE8" i="1" s="1"/>
  <c r="DF8" i="1" s="1"/>
  <c r="CU16" i="1"/>
  <c r="BF17" i="1"/>
  <c r="BG17" i="1" s="1"/>
  <c r="CU18" i="1"/>
  <c r="DE20" i="1"/>
  <c r="DF20" i="1" s="1"/>
  <c r="CS16" i="1"/>
  <c r="CT16" i="1" s="1"/>
  <c r="AK13" i="1"/>
  <c r="AL13" i="1" s="1"/>
  <c r="DE13" i="1" s="1"/>
  <c r="DF13" i="1" s="1"/>
  <c r="BR13" i="1"/>
  <c r="BS13" i="1" s="1"/>
  <c r="DB13" i="1"/>
  <c r="DC13" i="1" s="1"/>
  <c r="DE14" i="1"/>
  <c r="DF14" i="1" s="1"/>
  <c r="BF16" i="1"/>
  <c r="BG16" i="1" s="1"/>
  <c r="DE16" i="1" s="1"/>
  <c r="DF16" i="1" s="1"/>
  <c r="S17" i="1"/>
  <c r="T17" i="1" s="1"/>
  <c r="BH17" i="1"/>
  <c r="DE28" i="1"/>
  <c r="DF28" i="1" s="1"/>
  <c r="CS22" i="1"/>
  <c r="CT22" i="1" s="1"/>
  <c r="CS23" i="1"/>
  <c r="CT23" i="1" s="1"/>
  <c r="DE23" i="1" s="1"/>
  <c r="DF23" i="1" s="1"/>
  <c r="S27" i="1"/>
  <c r="T27" i="1" s="1"/>
  <c r="DE27" i="1" s="1"/>
  <c r="DF27" i="1" s="1"/>
  <c r="S32" i="1"/>
  <c r="T32" i="1" s="1"/>
  <c r="AK32" i="1"/>
  <c r="AL32" i="1" s="1"/>
  <c r="BR35" i="1"/>
  <c r="BS35" i="1" s="1"/>
  <c r="U36" i="1"/>
  <c r="DG36" i="1" s="1"/>
  <c r="CU21" i="1"/>
  <c r="BF21" i="1"/>
  <c r="BG21" i="1" s="1"/>
  <c r="CS36" i="1"/>
  <c r="CT36" i="1" s="1"/>
  <c r="DE36" i="1" s="1"/>
  <c r="DF36" i="1" s="1"/>
  <c r="DB21" i="1"/>
  <c r="DC21" i="1" s="1"/>
  <c r="BR25" i="1"/>
  <c r="BS25" i="1" s="1"/>
  <c r="DE25" i="1" s="1"/>
  <c r="DF25" i="1" s="1"/>
  <c r="S26" i="1"/>
  <c r="T26" i="1" s="1"/>
  <c r="AK26" i="1"/>
  <c r="AL26" i="1" s="1"/>
  <c r="AM26" i="1"/>
  <c r="CU26" i="1"/>
  <c r="BF31" i="1"/>
  <c r="BG31" i="1" s="1"/>
  <c r="DE31" i="1" s="1"/>
  <c r="DF31" i="1" s="1"/>
  <c r="DG33" i="1"/>
  <c r="CS34" i="1"/>
  <c r="CT34" i="1" s="1"/>
  <c r="DE34" i="1" s="1"/>
  <c r="DF34" i="1" s="1"/>
  <c r="DG37" i="1"/>
  <c r="DB37" i="1"/>
  <c r="DC37" i="1" s="1"/>
  <c r="DE37" i="1" s="1"/>
  <c r="DF37" i="1" s="1"/>
  <c r="N11" i="2" l="1"/>
  <c r="DE18" i="1"/>
  <c r="DF18" i="1" s="1"/>
  <c r="DG26" i="1"/>
  <c r="DE21" i="1"/>
  <c r="DF21" i="1" s="1"/>
  <c r="DE35" i="1"/>
  <c r="DF35" i="1" s="1"/>
  <c r="DE32" i="1"/>
  <c r="DF32" i="1" s="1"/>
  <c r="DE19" i="1"/>
  <c r="DF19" i="1" s="1"/>
  <c r="DE30" i="1"/>
  <c r="DF30" i="1" s="1"/>
  <c r="DE26" i="1"/>
  <c r="DF26" i="1" s="1"/>
  <c r="DE17" i="1"/>
  <c r="DF17" i="1" s="1"/>
  <c r="A1" i="1"/>
</calcChain>
</file>

<file path=xl/sharedStrings.xml><?xml version="1.0" encoding="utf-8"?>
<sst xmlns="http://schemas.openxmlformats.org/spreadsheetml/2006/main" count="285" uniqueCount="133">
  <si>
    <t xml:space="preserve">Ecole Privée de Santé Félix Houphouët Boigny  </t>
  </si>
  <si>
    <t>Tel : 79-33-44-24/76-37-88-66</t>
  </si>
  <si>
    <r>
      <t xml:space="preserve">                                                                                                                                                                      </t>
    </r>
    <r>
      <rPr>
        <b/>
        <u/>
        <sz val="16"/>
        <color theme="1"/>
        <rFont val="Bodoni MT Black"/>
        <family val="1"/>
      </rPr>
      <t xml:space="preserve"> RELEVE DE NOTES</t>
    </r>
  </si>
  <si>
    <r>
      <t>Année Universitaire :</t>
    </r>
    <r>
      <rPr>
        <sz val="11"/>
        <color theme="1"/>
        <rFont val="Times New Roman"/>
        <family val="1"/>
      </rPr>
      <t>2024-2025</t>
    </r>
    <r>
      <rPr>
        <b/>
        <sz val="11"/>
        <color theme="1"/>
        <rFont val="Times New Roman"/>
        <family val="1"/>
      </rPr>
      <t xml:space="preserve"> Semestre :</t>
    </r>
    <r>
      <rPr>
        <sz val="11"/>
        <color theme="1"/>
        <rFont val="Times New Roman"/>
        <family val="1"/>
      </rPr>
      <t xml:space="preserve">I </t>
    </r>
    <r>
      <rPr>
        <b/>
        <sz val="11"/>
        <color theme="1"/>
        <rFont val="Times New Roman"/>
        <family val="1"/>
      </rPr>
      <t>Département :</t>
    </r>
    <r>
      <rPr>
        <sz val="11"/>
        <color theme="1"/>
        <rFont val="Times New Roman"/>
        <family val="1"/>
      </rPr>
      <t>Sciences infirmières et obstétricales</t>
    </r>
  </si>
  <si>
    <r>
      <t>N° Matricule :</t>
    </r>
    <r>
      <rPr>
        <sz val="11"/>
        <color theme="1"/>
        <rFont val="Times New Roman"/>
        <family val="1"/>
      </rPr>
      <t xml:space="preserve">   </t>
    </r>
    <r>
      <rPr>
        <b/>
        <sz val="11"/>
        <color theme="1"/>
        <rFont val="Times New Roman"/>
        <family val="1"/>
      </rPr>
      <t>Nom :  SACKO  Prénom:</t>
    </r>
    <r>
      <rPr>
        <sz val="11"/>
        <color theme="1"/>
        <rFont val="Times New Roman"/>
        <family val="1"/>
      </rPr>
      <t xml:space="preserve"> Mahamadou Koké   </t>
    </r>
    <r>
      <rPr>
        <b/>
        <sz val="11"/>
        <color theme="1"/>
        <rFont val="Times New Roman"/>
        <family val="1"/>
      </rPr>
      <t>Date et lieu de naissance :</t>
    </r>
  </si>
  <si>
    <r>
      <t>Domaine :</t>
    </r>
    <r>
      <rPr>
        <sz val="11"/>
        <color theme="1"/>
        <rFont val="Times New Roman"/>
        <family val="1"/>
      </rPr>
      <t xml:space="preserve">Sciences de la santé </t>
    </r>
    <r>
      <rPr>
        <b/>
        <sz val="11"/>
        <color theme="1"/>
        <rFont val="Times New Roman"/>
        <family val="1"/>
      </rPr>
      <t>Filière : 1</t>
    </r>
    <r>
      <rPr>
        <b/>
        <vertAlign val="superscript"/>
        <sz val="11"/>
        <color theme="1"/>
        <rFont val="Times New Roman"/>
        <family val="1"/>
      </rPr>
      <t>ère</t>
    </r>
    <r>
      <rPr>
        <b/>
        <sz val="11"/>
        <color theme="1"/>
        <rFont val="Times New Roman"/>
        <family val="1"/>
      </rPr>
      <t xml:space="preserve"> Année TSS</t>
    </r>
  </si>
  <si>
    <t>Unités d’Enseignement  (U.E)</t>
  </si>
  <si>
    <t>Matière(s) constitutive(s) de l’unité d’enseignement</t>
  </si>
  <si>
    <t>Résultats obtenus</t>
  </si>
  <si>
    <t>Code</t>
  </si>
  <si>
    <t>Nature</t>
  </si>
  <si>
    <t>Crédits requis</t>
  </si>
  <si>
    <t>Coef.</t>
  </si>
  <si>
    <t>Intitulé(s)</t>
  </si>
  <si>
    <t>Crédits          requis</t>
  </si>
  <si>
    <t>Matières</t>
  </si>
  <si>
    <t>U.E</t>
  </si>
  <si>
    <t>Semestre I</t>
  </si>
  <si>
    <t>Note</t>
  </si>
  <si>
    <t>Note Coef.</t>
  </si>
  <si>
    <t>Crédits obtenus</t>
  </si>
  <si>
    <t>Moyenne et pourcentage</t>
  </si>
  <si>
    <t>SIO111</t>
  </si>
  <si>
    <t>Connaissance de base liées aux fonctions infirmières</t>
  </si>
  <si>
    <t>Déontologie et ethique</t>
  </si>
  <si>
    <t>Système national de santé</t>
  </si>
  <si>
    <t>Législation de travail</t>
  </si>
  <si>
    <t>Profession infirmière et sage-femme</t>
  </si>
  <si>
    <t>Conduite</t>
  </si>
  <si>
    <t>SIO112</t>
  </si>
  <si>
    <t>Connaissance de base du corps et de l'alimantation</t>
  </si>
  <si>
    <t>Anatomie physiologie générale</t>
  </si>
  <si>
    <t>Anatomie physiologie obstétricale</t>
  </si>
  <si>
    <t>Anatomie physiologie générale et obstétricale (TP)</t>
  </si>
  <si>
    <t>Puériculture</t>
  </si>
  <si>
    <t>Nutrition / Diètétique</t>
  </si>
  <si>
    <t>SIO113</t>
  </si>
  <si>
    <t>Notions de base sur les situations cliniques se référants aux pathologies</t>
  </si>
  <si>
    <t>Microbiologie</t>
  </si>
  <si>
    <t>Hématologie</t>
  </si>
  <si>
    <t>IST/VIH-SIDA</t>
  </si>
  <si>
    <t>Sémiologie chirurgicale</t>
  </si>
  <si>
    <t>Sémiologie médicale</t>
  </si>
  <si>
    <t>Pharmacologie générale I</t>
  </si>
  <si>
    <t>SIO114</t>
  </si>
  <si>
    <t>Santé Communautaire</t>
  </si>
  <si>
    <t>Santé communautaire</t>
  </si>
  <si>
    <t>Etude du milieu</t>
  </si>
  <si>
    <t>Psycho-socio-anthropologie</t>
  </si>
  <si>
    <t>SIO115</t>
  </si>
  <si>
    <t>Simulation des méthodes et techniques de base en soins infirmiers et obstétricaux</t>
  </si>
  <si>
    <t>Théories et concepts des soins infirmiers et obstétricaux</t>
  </si>
  <si>
    <t>Relation d'aide</t>
  </si>
  <si>
    <t>Technique de soins de base en médecine</t>
  </si>
  <si>
    <t>Pratique infirmier en médecine</t>
  </si>
  <si>
    <t>Techniques de soins de base en chirurgie</t>
  </si>
  <si>
    <t>Pratique infirmier en chirurge</t>
  </si>
  <si>
    <t>Secourisme</t>
  </si>
  <si>
    <t>Prévention des  infections</t>
  </si>
  <si>
    <t>SIO116</t>
  </si>
  <si>
    <t>Outils de recherche</t>
  </si>
  <si>
    <t>Anglais</t>
  </si>
  <si>
    <t>Statistique</t>
  </si>
  <si>
    <t xml:space="preserve">              San, le……..........,2025</t>
  </si>
  <si>
    <r>
      <t>Observation :……………</t>
    </r>
    <r>
      <rPr>
        <b/>
        <i/>
        <sz val="11"/>
        <color theme="1"/>
        <rFont val="Times New Roman"/>
        <family val="1"/>
      </rPr>
      <t>Bon travail</t>
    </r>
    <r>
      <rPr>
        <b/>
        <sz val="11"/>
        <color theme="1"/>
        <rFont val="Times New Roman"/>
        <family val="1"/>
      </rPr>
      <t>………………………………………………………………………………..</t>
    </r>
    <r>
      <rPr>
        <b/>
        <u/>
        <sz val="11"/>
        <color theme="1"/>
        <rFont val="Times New Roman"/>
        <family val="1"/>
      </rPr>
      <t>Le DirecteurGénéral</t>
    </r>
  </si>
  <si>
    <t>Resultat du Semestre I 2024-2025 Technicien Supérieur de Santé(TSS):IDE, SF, BM</t>
  </si>
  <si>
    <t>UNITES/COMPETENECS</t>
  </si>
  <si>
    <t>SIO111-Connaissance de base liées aux fonctions infirmières</t>
  </si>
  <si>
    <t>SIO112-Connaissance de base du corps et de l'alimentation</t>
  </si>
  <si>
    <t>SIO113-Notions de base sur les situations cliniques se référant aux pathologies</t>
  </si>
  <si>
    <t>SIO114-Santé communautaire</t>
  </si>
  <si>
    <t>SIO115-Simulation des méthodes et techniques de base en soins infirmiers et obstétricaux</t>
  </si>
  <si>
    <t>SIO116-Outils de recherche</t>
  </si>
  <si>
    <t>MATIERES</t>
  </si>
  <si>
    <t>Déontologie et éthique</t>
  </si>
  <si>
    <t>Unité</t>
  </si>
  <si>
    <t xml:space="preserve"> Unité</t>
  </si>
  <si>
    <t>credits requis</t>
  </si>
  <si>
    <t>coéfficients</t>
  </si>
  <si>
    <t>N°</t>
  </si>
  <si>
    <t>PRENOMS</t>
  </si>
  <si>
    <t>NOMS</t>
  </si>
  <si>
    <t>Note coef.</t>
  </si>
  <si>
    <t>Moyenne</t>
  </si>
  <si>
    <t>Pourcentage</t>
  </si>
  <si>
    <t>SACKO</t>
  </si>
  <si>
    <t>Mahamadou Koké</t>
  </si>
  <si>
    <t>DIARRA</t>
  </si>
  <si>
    <t>Roubin</t>
  </si>
  <si>
    <t>KONE</t>
  </si>
  <si>
    <t>Astan Sidiki</t>
  </si>
  <si>
    <t>Assa</t>
  </si>
  <si>
    <t>DEMBELE</t>
  </si>
  <si>
    <t>Adama</t>
  </si>
  <si>
    <t>DENA</t>
  </si>
  <si>
    <t>Samou Albert</t>
  </si>
  <si>
    <t>DABOU</t>
  </si>
  <si>
    <t>Bertrant</t>
  </si>
  <si>
    <t>Wazoun</t>
  </si>
  <si>
    <t>COULIBALY</t>
  </si>
  <si>
    <t>Lazard</t>
  </si>
  <si>
    <t>TOGOLO</t>
  </si>
  <si>
    <t>Abdou</t>
  </si>
  <si>
    <t>Abel</t>
  </si>
  <si>
    <t>BAH</t>
  </si>
  <si>
    <t>Binta</t>
  </si>
  <si>
    <t>KEÏTA</t>
  </si>
  <si>
    <t>Sème</t>
  </si>
  <si>
    <t>TRAORE</t>
  </si>
  <si>
    <t>Fatoumata M</t>
  </si>
  <si>
    <t>SANOGO</t>
  </si>
  <si>
    <t>Fatou</t>
  </si>
  <si>
    <t>Kadidia</t>
  </si>
  <si>
    <t>KOUMA</t>
  </si>
  <si>
    <t>Minata</t>
  </si>
  <si>
    <t>NIAFO</t>
  </si>
  <si>
    <t xml:space="preserve">Aminata </t>
  </si>
  <si>
    <t>Fatoumata B</t>
  </si>
  <si>
    <t>MAÏGA</t>
  </si>
  <si>
    <t>Halimatou A</t>
  </si>
  <si>
    <t>DRAVI</t>
  </si>
  <si>
    <t>Aïssata</t>
  </si>
  <si>
    <t>Foutamata Tita</t>
  </si>
  <si>
    <t>GUINDO</t>
  </si>
  <si>
    <t>Kadia Founé</t>
  </si>
  <si>
    <t>COUMARE</t>
  </si>
  <si>
    <t>BERTHE</t>
  </si>
  <si>
    <t>Bibata</t>
  </si>
  <si>
    <t>MOUNKORO</t>
  </si>
  <si>
    <t>Issac Vinima</t>
  </si>
  <si>
    <t>Fanta</t>
  </si>
  <si>
    <t>Konate</t>
  </si>
  <si>
    <t>Mamadou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</si>
</sst>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6"/>
      <color theme="1"/>
      <name val="Bodoni MT Black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6"/>
      <color theme="1"/>
      <name val="Elephant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0"/>
      <color theme="1"/>
      <name val="Calibri"/>
      <family val="2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Shonar Bangla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8"/>
      <color theme="1"/>
      <name val="Times New Roman"/>
      <family val="1"/>
    </font>
    <font>
      <sz val="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17365D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2" fontId="6" fillId="0" borderId="9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2" fontId="3" fillId="0" borderId="9" xfId="0" applyNumberFormat="1" applyFont="1" applyBorder="1" applyAlignment="1">
      <alignment horizontal="center" wrapText="1"/>
    </xf>
    <xf numFmtId="0" fontId="6" fillId="0" borderId="9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6" fillId="0" borderId="12" xfId="0" applyFont="1" applyBorder="1" applyAlignment="1">
      <alignment wrapText="1"/>
    </xf>
    <xf numFmtId="0" fontId="3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3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8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5" xfId="0" applyFont="1" applyBorder="1" applyAlignment="1">
      <alignment wrapText="1"/>
    </xf>
    <xf numFmtId="0" fontId="3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18" xfId="0" applyFont="1" applyBorder="1" applyAlignment="1">
      <alignment wrapText="1"/>
    </xf>
    <xf numFmtId="0" fontId="3" fillId="0" borderId="18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8" xfId="0" applyFont="1" applyBorder="1" applyAlignment="1">
      <alignment vertical="top" wrapText="1"/>
    </xf>
    <xf numFmtId="1" fontId="3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23" xfId="0" applyFont="1" applyFill="1" applyBorder="1"/>
    <xf numFmtId="0" fontId="13" fillId="2" borderId="19" xfId="0" applyFont="1" applyFill="1" applyBorder="1"/>
    <xf numFmtId="0" fontId="19" fillId="2" borderId="36" xfId="0" applyFont="1" applyFill="1" applyBorder="1" applyAlignment="1">
      <alignment horizontal="center"/>
    </xf>
    <xf numFmtId="0" fontId="19" fillId="2" borderId="13" xfId="0" applyFont="1" applyFill="1" applyBorder="1"/>
    <xf numFmtId="0" fontId="19" fillId="2" borderId="0" xfId="0" applyFont="1" applyFill="1"/>
    <xf numFmtId="0" fontId="19" fillId="2" borderId="37" xfId="0" applyFont="1" applyFill="1" applyBorder="1" applyAlignment="1">
      <alignment horizontal="left" textRotation="90"/>
    </xf>
    <xf numFmtId="0" fontId="19" fillId="2" borderId="38" xfId="0" applyFont="1" applyFill="1" applyBorder="1" applyAlignment="1">
      <alignment horizontal="left" textRotation="90" wrapText="1"/>
    </xf>
    <xf numFmtId="0" fontId="19" fillId="2" borderId="39" xfId="0" applyFont="1" applyFill="1" applyBorder="1" applyAlignment="1">
      <alignment horizontal="left" textRotation="90"/>
    </xf>
    <xf numFmtId="0" fontId="19" fillId="2" borderId="40" xfId="0" applyFont="1" applyFill="1" applyBorder="1" applyAlignment="1">
      <alignment horizontal="left" textRotation="90"/>
    </xf>
    <xf numFmtId="0" fontId="19" fillId="2" borderId="41" xfId="0" applyFont="1" applyFill="1" applyBorder="1" applyAlignment="1">
      <alignment horizontal="left" textRotation="90"/>
    </xf>
    <xf numFmtId="0" fontId="20" fillId="2" borderId="8" xfId="1" applyFont="1" applyFill="1" applyBorder="1" applyAlignment="1">
      <alignment horizontal="center" wrapText="1"/>
    </xf>
    <xf numFmtId="0" fontId="3" fillId="2" borderId="42" xfId="1" applyFont="1" applyFill="1" applyBorder="1"/>
    <xf numFmtId="0" fontId="21" fillId="2" borderId="43" xfId="1" applyFont="1" applyFill="1" applyBorder="1"/>
    <xf numFmtId="0" fontId="22" fillId="2" borderId="44" xfId="0" applyFont="1" applyFill="1" applyBorder="1" applyAlignment="1">
      <alignment horizontal="center" vertical="center" wrapText="1" readingOrder="1"/>
    </xf>
    <xf numFmtId="164" fontId="3" fillId="2" borderId="45" xfId="0" applyNumberFormat="1" applyFont="1" applyFill="1" applyBorder="1" applyAlignment="1">
      <alignment horizontal="center" vertical="center"/>
    </xf>
    <xf numFmtId="164" fontId="3" fillId="2" borderId="46" xfId="0" applyNumberFormat="1" applyFont="1" applyFill="1" applyBorder="1" applyAlignment="1">
      <alignment horizontal="center" vertical="center"/>
    </xf>
    <xf numFmtId="0" fontId="21" fillId="2" borderId="44" xfId="0" applyFont="1" applyFill="1" applyBorder="1" applyAlignment="1">
      <alignment horizontal="center" vertical="center" readingOrder="1"/>
    </xf>
    <xf numFmtId="164" fontId="23" fillId="2" borderId="47" xfId="1" applyNumberFormat="1" applyFont="1" applyFill="1" applyBorder="1" applyAlignment="1">
      <alignment horizontal="center" vertical="center" wrapText="1"/>
    </xf>
    <xf numFmtId="164" fontId="3" fillId="2" borderId="26" xfId="0" applyNumberFormat="1" applyFont="1" applyFill="1" applyBorder="1" applyAlignment="1">
      <alignment horizontal="center" vertical="center"/>
    </xf>
    <xf numFmtId="164" fontId="3" fillId="2" borderId="27" xfId="0" applyNumberFormat="1" applyFont="1" applyFill="1" applyBorder="1" applyAlignment="1">
      <alignment horizontal="center" vertical="center"/>
    </xf>
    <xf numFmtId="164" fontId="3" fillId="2" borderId="48" xfId="0" applyNumberFormat="1" applyFont="1" applyFill="1" applyBorder="1" applyAlignment="1">
      <alignment horizontal="center" vertical="center"/>
    </xf>
    <xf numFmtId="0" fontId="22" fillId="2" borderId="44" xfId="0" applyFont="1" applyFill="1" applyBorder="1" applyAlignment="1">
      <alignment horizontal="center" vertical="center" readingOrder="1"/>
    </xf>
    <xf numFmtId="164" fontId="23" fillId="2" borderId="49" xfId="1" applyNumberFormat="1" applyFont="1" applyFill="1" applyBorder="1" applyAlignment="1">
      <alignment horizontal="center" vertical="center" wrapText="1"/>
    </xf>
    <xf numFmtId="164" fontId="3" fillId="2" borderId="50" xfId="0" applyNumberFormat="1" applyFont="1" applyFill="1" applyBorder="1" applyAlignment="1">
      <alignment horizontal="center" vertical="center"/>
    </xf>
    <xf numFmtId="164" fontId="3" fillId="2" borderId="42" xfId="0" applyNumberFormat="1" applyFont="1" applyFill="1" applyBorder="1" applyAlignment="1">
      <alignment horizontal="center" vertical="center"/>
    </xf>
    <xf numFmtId="0" fontId="23" fillId="2" borderId="51" xfId="1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 wrapText="1" readingOrder="1"/>
    </xf>
    <xf numFmtId="164" fontId="3" fillId="2" borderId="44" xfId="0" applyNumberFormat="1" applyFont="1" applyFill="1" applyBorder="1" applyAlignment="1">
      <alignment horizontal="center" vertical="center"/>
    </xf>
    <xf numFmtId="1" fontId="21" fillId="2" borderId="44" xfId="0" applyNumberFormat="1" applyFont="1" applyFill="1" applyBorder="1" applyAlignment="1">
      <alignment horizontal="center" vertical="center" readingOrder="1"/>
    </xf>
    <xf numFmtId="2" fontId="3" fillId="2" borderId="53" xfId="0" applyNumberFormat="1" applyFont="1" applyFill="1" applyBorder="1" applyAlignment="1">
      <alignment horizontal="center" vertical="center"/>
    </xf>
    <xf numFmtId="2" fontId="3" fillId="2" borderId="45" xfId="0" applyNumberFormat="1" applyFont="1" applyFill="1" applyBorder="1" applyAlignment="1">
      <alignment horizontal="center" vertical="center"/>
    </xf>
    <xf numFmtId="2" fontId="3" fillId="2" borderId="46" xfId="0" applyNumberFormat="1" applyFont="1" applyFill="1" applyBorder="1" applyAlignment="1">
      <alignment horizontal="center" vertical="center"/>
    </xf>
    <xf numFmtId="0" fontId="3" fillId="2" borderId="54" xfId="1" applyFont="1" applyFill="1" applyBorder="1"/>
    <xf numFmtId="0" fontId="3" fillId="2" borderId="55" xfId="1" applyFont="1" applyFill="1" applyBorder="1"/>
    <xf numFmtId="0" fontId="22" fillId="2" borderId="49" xfId="0" applyFont="1" applyFill="1" applyBorder="1" applyAlignment="1">
      <alignment horizontal="center" vertical="center" wrapText="1" readingOrder="1"/>
    </xf>
    <xf numFmtId="164" fontId="3" fillId="2" borderId="56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 readingOrder="1"/>
    </xf>
    <xf numFmtId="164" fontId="3" fillId="2" borderId="28" xfId="0" applyNumberFormat="1" applyFont="1" applyFill="1" applyBorder="1" applyAlignment="1">
      <alignment horizontal="center" vertical="center"/>
    </xf>
    <xf numFmtId="164" fontId="3" fillId="2" borderId="58" xfId="0" applyNumberFormat="1" applyFont="1" applyFill="1" applyBorder="1" applyAlignment="1">
      <alignment horizontal="center" vertical="center"/>
    </xf>
    <xf numFmtId="164" fontId="3" fillId="2" borderId="59" xfId="0" applyNumberFormat="1" applyFont="1" applyFill="1" applyBorder="1" applyAlignment="1">
      <alignment horizontal="center" vertical="center"/>
    </xf>
    <xf numFmtId="0" fontId="22" fillId="2" borderId="49" xfId="0" applyFont="1" applyFill="1" applyBorder="1" applyAlignment="1">
      <alignment horizontal="center" vertical="center" readingOrder="1"/>
    </xf>
    <xf numFmtId="164" fontId="3" fillId="2" borderId="60" xfId="0" applyNumberFormat="1" applyFont="1" applyFill="1" applyBorder="1" applyAlignment="1">
      <alignment horizontal="center" vertical="center"/>
    </xf>
    <xf numFmtId="164" fontId="3" fillId="2" borderId="54" xfId="0" applyNumberFormat="1" applyFont="1" applyFill="1" applyBorder="1" applyAlignment="1">
      <alignment horizontal="center" vertical="center"/>
    </xf>
    <xf numFmtId="164" fontId="3" fillId="2" borderId="53" xfId="0" applyNumberFormat="1" applyFont="1" applyFill="1" applyBorder="1" applyAlignment="1">
      <alignment horizontal="center" vertical="center"/>
    </xf>
    <xf numFmtId="164" fontId="3" fillId="2" borderId="61" xfId="0" applyNumberFormat="1" applyFont="1" applyFill="1" applyBorder="1" applyAlignment="1">
      <alignment horizontal="center" vertical="center"/>
    </xf>
    <xf numFmtId="0" fontId="22" fillId="2" borderId="62" xfId="0" applyFont="1" applyFill="1" applyBorder="1" applyAlignment="1">
      <alignment horizontal="center" vertical="center" wrapText="1" readingOrder="1"/>
    </xf>
    <xf numFmtId="164" fontId="3" fillId="2" borderId="49" xfId="0" applyNumberFormat="1" applyFont="1" applyFill="1" applyBorder="1" applyAlignment="1">
      <alignment horizontal="center" vertical="center"/>
    </xf>
    <xf numFmtId="164" fontId="3" fillId="2" borderId="29" xfId="0" applyNumberFormat="1" applyFont="1" applyFill="1" applyBorder="1" applyAlignment="1">
      <alignment horizontal="center" vertical="center"/>
    </xf>
    <xf numFmtId="1" fontId="21" fillId="2" borderId="49" xfId="0" applyNumberFormat="1" applyFont="1" applyFill="1" applyBorder="1" applyAlignment="1">
      <alignment horizontal="center" vertical="center" readingOrder="1"/>
    </xf>
    <xf numFmtId="2" fontId="3" fillId="2" borderId="56" xfId="0" applyNumberFormat="1" applyFont="1" applyFill="1" applyBorder="1" applyAlignment="1">
      <alignment horizontal="center" vertical="center"/>
    </xf>
    <xf numFmtId="0" fontId="24" fillId="2" borderId="49" xfId="0" applyFont="1" applyFill="1" applyBorder="1" applyAlignment="1">
      <alignment horizontal="center" vertical="center" wrapText="1" readingOrder="1"/>
    </xf>
    <xf numFmtId="0" fontId="24" fillId="2" borderId="49" xfId="0" applyFont="1" applyFill="1" applyBorder="1" applyAlignment="1">
      <alignment horizontal="center" vertical="center" readingOrder="1"/>
    </xf>
    <xf numFmtId="164" fontId="25" fillId="2" borderId="49" xfId="1" applyNumberFormat="1" applyFont="1" applyFill="1" applyBorder="1" applyAlignment="1">
      <alignment horizontal="center" vertical="center" wrapText="1"/>
    </xf>
    <xf numFmtId="0" fontId="24" fillId="2" borderId="62" xfId="0" applyFont="1" applyFill="1" applyBorder="1" applyAlignment="1">
      <alignment horizontal="center" vertical="center" readingOrder="1"/>
    </xf>
    <xf numFmtId="0" fontId="22" fillId="2" borderId="62" xfId="0" applyFont="1" applyFill="1" applyBorder="1" applyAlignment="1">
      <alignment horizontal="center" vertical="center" readingOrder="1"/>
    </xf>
    <xf numFmtId="0" fontId="3" fillId="2" borderId="63" xfId="1" applyFont="1" applyFill="1" applyBorder="1"/>
    <xf numFmtId="0" fontId="22" fillId="2" borderId="64" xfId="0" applyFont="1" applyFill="1" applyBorder="1" applyAlignment="1">
      <alignment horizontal="center" vertical="center" wrapText="1" readingOrder="1"/>
    </xf>
    <xf numFmtId="164" fontId="3" fillId="2" borderId="38" xfId="0" applyNumberFormat="1" applyFont="1" applyFill="1" applyBorder="1" applyAlignment="1">
      <alignment horizontal="center" vertical="center"/>
    </xf>
    <xf numFmtId="164" fontId="3" fillId="2" borderId="39" xfId="0" applyNumberFormat="1" applyFont="1" applyFill="1" applyBorder="1" applyAlignment="1">
      <alignment horizontal="center" vertical="center"/>
    </xf>
    <xf numFmtId="164" fontId="3" fillId="2" borderId="65" xfId="0" applyNumberFormat="1" applyFont="1" applyFill="1" applyBorder="1" applyAlignment="1">
      <alignment horizontal="center" vertical="center"/>
    </xf>
    <xf numFmtId="0" fontId="24" fillId="2" borderId="64" xfId="0" applyFont="1" applyFill="1" applyBorder="1" applyAlignment="1">
      <alignment horizontal="center" vertical="center" readingOrder="1"/>
    </xf>
    <xf numFmtId="164" fontId="23" fillId="2" borderId="13" xfId="1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4" fontId="3" fillId="2" borderId="66" xfId="0" applyNumberFormat="1" applyFont="1" applyFill="1" applyBorder="1" applyAlignment="1">
      <alignment horizontal="center" vertical="center"/>
    </xf>
    <xf numFmtId="164" fontId="3" fillId="2" borderId="41" xfId="0" applyNumberFormat="1" applyFont="1" applyFill="1" applyBorder="1" applyAlignment="1">
      <alignment horizontal="center" vertical="center"/>
    </xf>
    <xf numFmtId="0" fontId="22" fillId="2" borderId="64" xfId="0" applyFont="1" applyFill="1" applyBorder="1" applyAlignment="1">
      <alignment horizontal="center" vertical="center" readingOrder="1"/>
    </xf>
    <xf numFmtId="164" fontId="23" fillId="2" borderId="64" xfId="1" applyNumberFormat="1" applyFont="1" applyFill="1" applyBorder="1" applyAlignment="1">
      <alignment horizontal="center" vertical="center" wrapText="1"/>
    </xf>
    <xf numFmtId="164" fontId="3" fillId="2" borderId="67" xfId="0" applyNumberFormat="1" applyFont="1" applyFill="1" applyBorder="1" applyAlignment="1">
      <alignment horizontal="center" vertical="center"/>
    </xf>
    <xf numFmtId="164" fontId="3" fillId="2" borderId="68" xfId="0" applyNumberFormat="1" applyFont="1" applyFill="1" applyBorder="1" applyAlignment="1">
      <alignment horizontal="center" vertical="center"/>
    </xf>
    <xf numFmtId="0" fontId="24" fillId="2" borderId="64" xfId="0" applyFont="1" applyFill="1" applyBorder="1" applyAlignment="1">
      <alignment horizontal="center" vertical="center" wrapText="1" readingOrder="1"/>
    </xf>
    <xf numFmtId="164" fontId="3" fillId="2" borderId="69" xfId="0" applyNumberFormat="1" applyFont="1" applyFill="1" applyBorder="1" applyAlignment="1">
      <alignment horizontal="center" vertical="center"/>
    </xf>
    <xf numFmtId="164" fontId="3" fillId="2" borderId="70" xfId="0" applyNumberFormat="1" applyFont="1" applyFill="1" applyBorder="1" applyAlignment="1">
      <alignment horizontal="center" vertical="center"/>
    </xf>
    <xf numFmtId="0" fontId="23" fillId="2" borderId="36" xfId="1" applyFont="1" applyFill="1" applyBorder="1" applyAlignment="1">
      <alignment horizontal="center" vertical="center"/>
    </xf>
    <xf numFmtId="164" fontId="26" fillId="2" borderId="39" xfId="0" applyNumberFormat="1" applyFont="1" applyFill="1" applyBorder="1" applyAlignment="1">
      <alignment horizontal="center" vertical="center"/>
    </xf>
    <xf numFmtId="0" fontId="24" fillId="2" borderId="71" xfId="0" applyFont="1" applyFill="1" applyBorder="1" applyAlignment="1">
      <alignment horizontal="center" vertical="center" wrapText="1" readingOrder="1"/>
    </xf>
    <xf numFmtId="164" fontId="3" fillId="2" borderId="64" xfId="0" applyNumberFormat="1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center" vertical="center" readingOrder="1"/>
    </xf>
    <xf numFmtId="164" fontId="3" fillId="2" borderId="72" xfId="0" applyNumberFormat="1" applyFont="1" applyFill="1" applyBorder="1" applyAlignment="1">
      <alignment horizontal="center" vertical="center"/>
    </xf>
    <xf numFmtId="1" fontId="21" fillId="2" borderId="64" xfId="0" applyNumberFormat="1" applyFont="1" applyFill="1" applyBorder="1" applyAlignment="1">
      <alignment horizontal="center" vertical="center" readingOrder="1"/>
    </xf>
    <xf numFmtId="1" fontId="24" fillId="2" borderId="64" xfId="0" applyNumberFormat="1" applyFont="1" applyFill="1" applyBorder="1" applyAlignment="1">
      <alignment horizontal="center" vertical="center" readingOrder="1"/>
    </xf>
    <xf numFmtId="2" fontId="3" fillId="2" borderId="38" xfId="0" applyNumberFormat="1" applyFont="1" applyFill="1" applyBorder="1" applyAlignment="1">
      <alignment horizontal="center" vertical="center"/>
    </xf>
    <xf numFmtId="2" fontId="3" fillId="2" borderId="40" xfId="0" applyNumberFormat="1" applyFont="1" applyFill="1" applyBorder="1" applyAlignment="1">
      <alignment horizontal="center" vertical="center"/>
    </xf>
    <xf numFmtId="0" fontId="3" fillId="2" borderId="73" xfId="1" applyFont="1" applyFill="1" applyBorder="1"/>
    <xf numFmtId="0" fontId="3" fillId="2" borderId="53" xfId="1" applyFont="1" applyFill="1" applyBorder="1"/>
    <xf numFmtId="0" fontId="22" fillId="2" borderId="53" xfId="0" applyFont="1" applyFill="1" applyBorder="1" applyAlignment="1">
      <alignment horizontal="center" vertical="center" wrapText="1" readingOrder="1"/>
    </xf>
    <xf numFmtId="0" fontId="21" fillId="2" borderId="53" xfId="0" applyFont="1" applyFill="1" applyBorder="1" applyAlignment="1">
      <alignment horizontal="center" vertical="center" readingOrder="1"/>
    </xf>
    <xf numFmtId="164" fontId="23" fillId="2" borderId="53" xfId="1" applyNumberFormat="1" applyFont="1" applyFill="1" applyBorder="1" applyAlignment="1">
      <alignment horizontal="center" vertical="center" wrapText="1"/>
    </xf>
    <xf numFmtId="0" fontId="22" fillId="2" borderId="53" xfId="0" applyFont="1" applyFill="1" applyBorder="1" applyAlignment="1">
      <alignment horizontal="center" vertical="center" readingOrder="1"/>
    </xf>
    <xf numFmtId="0" fontId="23" fillId="2" borderId="53" xfId="1" applyFont="1" applyFill="1" applyBorder="1" applyAlignment="1">
      <alignment horizontal="center" vertical="center"/>
    </xf>
    <xf numFmtId="1" fontId="21" fillId="2" borderId="53" xfId="0" applyNumberFormat="1" applyFont="1" applyFill="1" applyBorder="1" applyAlignment="1">
      <alignment horizontal="center" vertical="center" readingOrder="1"/>
    </xf>
    <xf numFmtId="164" fontId="3" fillId="2" borderId="74" xfId="0" applyNumberFormat="1" applyFont="1" applyFill="1" applyBorder="1" applyAlignment="1">
      <alignment horizontal="center" vertical="center"/>
    </xf>
    <xf numFmtId="0" fontId="24" fillId="2" borderId="53" xfId="0" applyFont="1" applyFill="1" applyBorder="1" applyAlignment="1">
      <alignment horizontal="center" vertical="center" wrapText="1" readingOrder="1"/>
    </xf>
    <xf numFmtId="0" fontId="24" fillId="2" borderId="53" xfId="0" applyFont="1" applyFill="1" applyBorder="1" applyAlignment="1">
      <alignment horizontal="center" vertical="center" readingOrder="1"/>
    </xf>
    <xf numFmtId="1" fontId="24" fillId="2" borderId="53" xfId="0" applyNumberFormat="1" applyFont="1" applyFill="1" applyBorder="1" applyAlignment="1">
      <alignment horizontal="center" vertical="center" readingOrder="1"/>
    </xf>
    <xf numFmtId="1" fontId="22" fillId="2" borderId="53" xfId="0" applyNumberFormat="1" applyFont="1" applyFill="1" applyBorder="1" applyAlignment="1">
      <alignment horizontal="center" vertical="center" readingOrder="1"/>
    </xf>
    <xf numFmtId="164" fontId="25" fillId="2" borderId="53" xfId="1" applyNumberFormat="1" applyFont="1" applyFill="1" applyBorder="1" applyAlignment="1">
      <alignment horizontal="center" vertical="center" wrapText="1"/>
    </xf>
    <xf numFmtId="0" fontId="20" fillId="2" borderId="6" xfId="1" applyFont="1" applyFill="1" applyBorder="1" applyAlignment="1">
      <alignment horizontal="center" wrapText="1"/>
    </xf>
    <xf numFmtId="0" fontId="3" fillId="2" borderId="75" xfId="1" applyFont="1" applyFill="1" applyBorder="1"/>
    <xf numFmtId="0" fontId="20" fillId="2" borderId="53" xfId="1" applyFont="1" applyFill="1" applyBorder="1" applyAlignment="1">
      <alignment horizontal="center" wrapText="1"/>
    </xf>
    <xf numFmtId="0" fontId="3" fillId="2" borderId="74" xfId="1" applyFont="1" applyFill="1" applyBorder="1"/>
    <xf numFmtId="0" fontId="27" fillId="2" borderId="53" xfId="1" applyFont="1" applyFill="1" applyBorder="1"/>
    <xf numFmtId="0" fontId="28" fillId="2" borderId="53" xfId="1" applyFont="1" applyFill="1" applyBorder="1" applyAlignment="1">
      <alignment horizontal="center" vertical="center"/>
    </xf>
    <xf numFmtId="164" fontId="26" fillId="2" borderId="53" xfId="0" applyNumberFormat="1" applyFont="1" applyFill="1" applyBorder="1" applyAlignment="1">
      <alignment horizontal="center" vertical="center"/>
    </xf>
    <xf numFmtId="164" fontId="29" fillId="2" borderId="53" xfId="1" applyNumberFormat="1" applyFont="1" applyFill="1" applyBorder="1" applyAlignment="1">
      <alignment horizontal="center" vertical="center" wrapText="1"/>
    </xf>
    <xf numFmtId="0" fontId="26" fillId="2" borderId="53" xfId="1" applyFont="1" applyFill="1" applyBorder="1"/>
    <xf numFmtId="0" fontId="0" fillId="0" borderId="53" xfId="0" applyBorder="1" applyAlignment="1">
      <alignment horizontal="center"/>
    </xf>
    <xf numFmtId="0" fontId="0" fillId="0" borderId="74" xfId="0" applyBorder="1"/>
    <xf numFmtId="0" fontId="0" fillId="0" borderId="53" xfId="0" applyBorder="1"/>
    <xf numFmtId="164" fontId="3" fillId="0" borderId="53" xfId="0" applyNumberFormat="1" applyFont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27" fillId="2" borderId="53" xfId="0" applyFont="1" applyFill="1" applyBorder="1" applyAlignment="1">
      <alignment horizontal="center" vertical="center"/>
    </xf>
    <xf numFmtId="164" fontId="3" fillId="4" borderId="53" xfId="0" applyNumberFormat="1" applyFont="1" applyFill="1" applyBorder="1" applyAlignment="1">
      <alignment horizontal="center" vertical="center"/>
    </xf>
    <xf numFmtId="164" fontId="3" fillId="5" borderId="53" xfId="0" applyNumberFormat="1" applyFont="1" applyFill="1" applyBorder="1" applyAlignment="1">
      <alignment horizontal="center" vertical="center"/>
    </xf>
    <xf numFmtId="0" fontId="26" fillId="4" borderId="53" xfId="0" applyFont="1" applyFill="1" applyBorder="1" applyAlignment="1">
      <alignment horizontal="center" vertical="center" wrapText="1" readingOrder="1"/>
    </xf>
    <xf numFmtId="164" fontId="3" fillId="0" borderId="74" xfId="0" applyNumberFormat="1" applyFont="1" applyBorder="1" applyAlignment="1">
      <alignment horizontal="center" vertical="center"/>
    </xf>
    <xf numFmtId="2" fontId="3" fillId="0" borderId="53" xfId="0" applyNumberFormat="1" applyFont="1" applyBorder="1" applyAlignment="1">
      <alignment horizontal="center" vertical="center"/>
    </xf>
    <xf numFmtId="0" fontId="18" fillId="2" borderId="20" xfId="0" applyFont="1" applyFill="1" applyBorder="1" applyAlignment="1">
      <alignment horizontal="center" wrapText="1"/>
    </xf>
    <xf numFmtId="0" fontId="18" fillId="2" borderId="21" xfId="0" applyFont="1" applyFill="1" applyBorder="1" applyAlignment="1">
      <alignment horizontal="center" wrapText="1"/>
    </xf>
    <xf numFmtId="0" fontId="18" fillId="2" borderId="22" xfId="0" applyFont="1" applyFill="1" applyBorder="1" applyAlignment="1">
      <alignment horizontal="center" wrapText="1"/>
    </xf>
    <xf numFmtId="0" fontId="18" fillId="2" borderId="33" xfId="0" applyFont="1" applyFill="1" applyBorder="1" applyAlignment="1">
      <alignment horizontal="center" wrapText="1"/>
    </xf>
    <xf numFmtId="0" fontId="18" fillId="2" borderId="34" xfId="0" applyFont="1" applyFill="1" applyBorder="1" applyAlignment="1">
      <alignment horizontal="center" wrapText="1"/>
    </xf>
    <xf numFmtId="0" fontId="18" fillId="2" borderId="35" xfId="0" applyFont="1" applyFill="1" applyBorder="1" applyAlignment="1">
      <alignment horizontal="center" wrapText="1"/>
    </xf>
    <xf numFmtId="0" fontId="18" fillId="2" borderId="28" xfId="0" applyFont="1" applyFill="1" applyBorder="1" applyAlignment="1">
      <alignment horizontal="center" wrapText="1"/>
    </xf>
    <xf numFmtId="0" fontId="18" fillId="2" borderId="29" xfId="0" applyFont="1" applyFill="1" applyBorder="1" applyAlignment="1">
      <alignment horizontal="center" wrapText="1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center"/>
    </xf>
    <xf numFmtId="0" fontId="18" fillId="2" borderId="25" xfId="0" applyFont="1" applyFill="1" applyBorder="1" applyAlignment="1">
      <alignment horizontal="center" wrapText="1"/>
    </xf>
    <xf numFmtId="0" fontId="18" fillId="2" borderId="26" xfId="0" applyFont="1" applyFill="1" applyBorder="1" applyAlignment="1">
      <alignment horizontal="center" wrapText="1"/>
    </xf>
    <xf numFmtId="0" fontId="18" fillId="2" borderId="27" xfId="0" applyFont="1" applyFill="1" applyBorder="1" applyAlignment="1">
      <alignment horizontal="center" wrapText="1"/>
    </xf>
    <xf numFmtId="0" fontId="18" fillId="2" borderId="30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wrapText="1"/>
    </xf>
    <xf numFmtId="0" fontId="18" fillId="2" borderId="32" xfId="0" applyFont="1" applyFill="1" applyBorder="1" applyAlignment="1">
      <alignment horizontal="center" wrapText="1"/>
    </xf>
    <xf numFmtId="0" fontId="15" fillId="2" borderId="20" xfId="0" applyFont="1" applyFill="1" applyBorder="1" applyAlignment="1">
      <alignment horizontal="center" textRotation="90" wrapText="1"/>
    </xf>
    <xf numFmtId="0" fontId="15" fillId="2" borderId="21" xfId="0" applyFont="1" applyFill="1" applyBorder="1" applyAlignment="1">
      <alignment horizontal="center" textRotation="90" wrapText="1"/>
    </xf>
    <xf numFmtId="0" fontId="15" fillId="2" borderId="22" xfId="0" applyFont="1" applyFill="1" applyBorder="1" applyAlignment="1">
      <alignment horizontal="center" textRotation="90" wrapText="1"/>
    </xf>
    <xf numFmtId="0" fontId="15" fillId="3" borderId="20" xfId="0" applyFont="1" applyFill="1" applyBorder="1" applyAlignment="1">
      <alignment horizontal="center" textRotation="90" wrapText="1"/>
    </xf>
    <xf numFmtId="0" fontId="15" fillId="3" borderId="21" xfId="0" applyFont="1" applyFill="1" applyBorder="1" applyAlignment="1">
      <alignment horizontal="center" textRotation="90" wrapText="1"/>
    </xf>
    <xf numFmtId="0" fontId="15" fillId="3" borderId="22" xfId="0" applyFont="1" applyFill="1" applyBorder="1" applyAlignment="1">
      <alignment horizontal="center" textRotation="90" wrapText="1"/>
    </xf>
    <xf numFmtId="0" fontId="16" fillId="2" borderId="23" xfId="0" applyFont="1" applyFill="1" applyBorder="1" applyAlignment="1">
      <alignment horizontal="center" textRotation="90" wrapText="1"/>
    </xf>
    <xf numFmtId="0" fontId="16" fillId="2" borderId="19" xfId="0" applyFont="1" applyFill="1" applyBorder="1" applyAlignment="1">
      <alignment horizontal="center" textRotation="90" wrapText="1"/>
    </xf>
    <xf numFmtId="0" fontId="16" fillId="2" borderId="24" xfId="0" applyFont="1" applyFill="1" applyBorder="1" applyAlignment="1">
      <alignment horizontal="center" textRotation="90" wrapText="1"/>
    </xf>
    <xf numFmtId="0" fontId="17" fillId="2" borderId="25" xfId="0" applyFont="1" applyFill="1" applyBorder="1" applyAlignment="1">
      <alignment horizontal="center"/>
    </xf>
    <xf numFmtId="0" fontId="17" fillId="2" borderId="26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 wrapText="1"/>
    </xf>
  </cellXfs>
  <cellStyles count="2">
    <cellStyle name="Normal" xfId="0" builtinId="0"/>
    <cellStyle name="Normal 2" xfId="1" xr:uid="{51DE6BAC-1E0E-4B8A-95DF-F867F58AF277}"/>
  </cellStyles>
  <dxfs count="38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sultat%20definitif%20SI,SIII,SV\Resultats%20semestre%20I%20SAN%202024-2025%20-%20Copie.xlsx" TargetMode="External"/><Relationship Id="rId1" Type="http://schemas.openxmlformats.org/officeDocument/2006/relationships/externalLinkPath" Target="file:///D:\Resultat%20definitif%20SI,SIII,SV\Resultats%20semestre%20I%20SAN%202024-2025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S (IDE-SF-BM)"/>
      <sheetName val="Synth TSS(IDE-SF-BM)"/>
      <sheetName val="Rélevé"/>
      <sheetName val="TS-SMI "/>
      <sheetName val="Synthèse TS-SMI"/>
      <sheetName val="Releve (2)"/>
      <sheetName val="TS-SP (2)"/>
      <sheetName val="Rélévé"/>
      <sheetName val="TS-TLP (2)"/>
      <sheetName val="Synthèse TS-TLP"/>
      <sheetName val="RLeve"/>
      <sheetName val="Feuil5"/>
      <sheetName val="Rélévé "/>
      <sheetName val="ATS "/>
      <sheetName val="Releve 2"/>
    </sheetNames>
    <sheetDataSet>
      <sheetData sheetId="0">
        <row r="8">
          <cell r="D8">
            <v>19.5</v>
          </cell>
          <cell r="G8">
            <v>18.5</v>
          </cell>
          <cell r="K8">
            <v>14</v>
          </cell>
          <cell r="M8">
            <v>19</v>
          </cell>
          <cell r="Q8">
            <v>18</v>
          </cell>
          <cell r="V8">
            <v>16.5</v>
          </cell>
          <cell r="Y8">
            <v>16.5</v>
          </cell>
          <cell r="AB8">
            <v>17</v>
          </cell>
          <cell r="AE8">
            <v>20</v>
          </cell>
          <cell r="AH8">
            <v>10</v>
          </cell>
          <cell r="AN8">
            <v>5</v>
          </cell>
          <cell r="AT8">
            <v>12.5</v>
          </cell>
          <cell r="AW8">
            <v>11.5</v>
          </cell>
          <cell r="AZ8">
            <v>14.25</v>
          </cell>
          <cell r="BC8">
            <v>6</v>
          </cell>
          <cell r="BI8">
            <v>9</v>
          </cell>
          <cell r="BL8">
            <v>18</v>
          </cell>
          <cell r="BO8">
            <v>13.5</v>
          </cell>
          <cell r="BU8">
            <v>15.75</v>
          </cell>
          <cell r="BX8">
            <v>19</v>
          </cell>
          <cell r="CA8">
            <v>17</v>
          </cell>
          <cell r="CD8">
            <v>16.5</v>
          </cell>
          <cell r="CG8">
            <v>10</v>
          </cell>
          <cell r="CJ8">
            <v>12</v>
          </cell>
          <cell r="CM8">
            <v>18</v>
          </cell>
          <cell r="CP8">
            <v>13</v>
          </cell>
          <cell r="CV8">
            <v>15</v>
          </cell>
          <cell r="CY8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4931-9DE6-4584-B053-DE8F15B9314C}">
  <dimension ref="A1:DG37"/>
  <sheetViews>
    <sheetView topLeftCell="H1" workbookViewId="0">
      <selection sqref="A1:DG37"/>
    </sheetView>
  </sheetViews>
  <sheetFormatPr baseColWidth="10" defaultRowHeight="14.5" x14ac:dyDescent="0.35"/>
  <cols>
    <col min="1" max="1" width="4.1796875" bestFit="1" customWidth="1"/>
    <col min="2" max="2" width="16.54296875" customWidth="1"/>
    <col min="3" max="3" width="15.7265625" customWidth="1"/>
    <col min="4" max="21" width="6" customWidth="1"/>
    <col min="22" max="35" width="6.54296875" customWidth="1"/>
    <col min="36" max="37" width="5.81640625" customWidth="1"/>
    <col min="38" max="108" width="6.54296875" customWidth="1"/>
    <col min="109" max="109" width="8.81640625" customWidth="1"/>
    <col min="110" max="111" width="6.54296875" customWidth="1"/>
  </cols>
  <sheetData>
    <row r="1" spans="1:111" ht="21.5" x14ac:dyDescent="0.55000000000000004">
      <c r="A1" s="191">
        <f ca="1">+DI38+A1:AM4+A1:AM5+DI38+A1:AM4</f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</row>
    <row r="2" spans="1:111" ht="18" thickBot="1" x14ac:dyDescent="0.4">
      <c r="A2" s="192" t="s">
        <v>65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4"/>
      <c r="CX2" s="33"/>
      <c r="CY2" s="33"/>
      <c r="CZ2" s="33"/>
      <c r="DA2" s="33"/>
      <c r="DB2" s="33"/>
      <c r="DC2" s="33"/>
      <c r="DD2" s="33"/>
      <c r="DE2" s="33"/>
      <c r="DF2" s="33"/>
      <c r="DG2" s="33"/>
    </row>
    <row r="3" spans="1:111" ht="23.25" customHeight="1" thickTop="1" thickBot="1" x14ac:dyDescent="0.4">
      <c r="A3" s="182" t="s">
        <v>66</v>
      </c>
      <c r="B3" s="183"/>
      <c r="C3" s="184"/>
      <c r="D3" s="183" t="s">
        <v>67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4"/>
      <c r="V3" s="182" t="s">
        <v>68</v>
      </c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4"/>
      <c r="AN3" s="182" t="s">
        <v>69</v>
      </c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4"/>
      <c r="BI3" s="182" t="s">
        <v>70</v>
      </c>
      <c r="BJ3" s="183"/>
      <c r="BK3" s="183"/>
      <c r="BL3" s="183"/>
      <c r="BM3" s="183"/>
      <c r="BN3" s="183"/>
      <c r="BO3" s="183"/>
      <c r="BP3" s="183"/>
      <c r="BQ3" s="183"/>
      <c r="BR3" s="183"/>
      <c r="BS3" s="183"/>
      <c r="BT3" s="184"/>
      <c r="BU3" s="185" t="s">
        <v>71</v>
      </c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7"/>
      <c r="CV3" s="182" t="s">
        <v>72</v>
      </c>
      <c r="CW3" s="183"/>
      <c r="CX3" s="183"/>
      <c r="CY3" s="183"/>
      <c r="CZ3" s="183"/>
      <c r="DA3" s="183"/>
      <c r="DB3" s="183"/>
      <c r="DC3" s="183"/>
      <c r="DD3" s="184"/>
      <c r="DE3" s="35"/>
      <c r="DF3" s="36"/>
      <c r="DG3" s="36"/>
    </row>
    <row r="4" spans="1:111" ht="99.75" customHeight="1" thickTop="1" thickBot="1" x14ac:dyDescent="0.5">
      <c r="A4" s="188" t="s">
        <v>73</v>
      </c>
      <c r="B4" s="189"/>
      <c r="C4" s="190"/>
      <c r="D4" s="170" t="s">
        <v>74</v>
      </c>
      <c r="E4" s="171"/>
      <c r="F4" s="172"/>
      <c r="G4" s="170" t="s">
        <v>25</v>
      </c>
      <c r="H4" s="171"/>
      <c r="I4" s="172"/>
      <c r="J4" s="170" t="s">
        <v>26</v>
      </c>
      <c r="K4" s="171"/>
      <c r="L4" s="172"/>
      <c r="M4" s="170" t="s">
        <v>27</v>
      </c>
      <c r="N4" s="171"/>
      <c r="O4" s="172"/>
      <c r="P4" s="170" t="s">
        <v>28</v>
      </c>
      <c r="Q4" s="171"/>
      <c r="R4" s="172"/>
      <c r="S4" s="174" t="s">
        <v>75</v>
      </c>
      <c r="T4" s="174"/>
      <c r="U4" s="175"/>
      <c r="V4" s="170" t="s">
        <v>31</v>
      </c>
      <c r="W4" s="171"/>
      <c r="X4" s="172"/>
      <c r="Y4" s="170" t="s">
        <v>32</v>
      </c>
      <c r="Z4" s="171"/>
      <c r="AA4" s="172"/>
      <c r="AB4" s="170" t="s">
        <v>33</v>
      </c>
      <c r="AC4" s="171"/>
      <c r="AD4" s="172"/>
      <c r="AE4" s="170" t="s">
        <v>34</v>
      </c>
      <c r="AF4" s="171"/>
      <c r="AG4" s="172"/>
      <c r="AH4" s="170" t="s">
        <v>35</v>
      </c>
      <c r="AI4" s="171"/>
      <c r="AJ4" s="172"/>
      <c r="AK4" s="173" t="s">
        <v>75</v>
      </c>
      <c r="AL4" s="174"/>
      <c r="AM4" s="175"/>
      <c r="AN4" s="170" t="s">
        <v>38</v>
      </c>
      <c r="AO4" s="171"/>
      <c r="AP4" s="172"/>
      <c r="AQ4" s="170" t="s">
        <v>39</v>
      </c>
      <c r="AR4" s="171"/>
      <c r="AS4" s="172"/>
      <c r="AT4" s="170" t="s">
        <v>40</v>
      </c>
      <c r="AU4" s="171"/>
      <c r="AV4" s="172"/>
      <c r="AW4" s="170" t="s">
        <v>41</v>
      </c>
      <c r="AX4" s="171"/>
      <c r="AY4" s="172"/>
      <c r="AZ4" s="170" t="s">
        <v>42</v>
      </c>
      <c r="BA4" s="171"/>
      <c r="BB4" s="172"/>
      <c r="BC4" s="170" t="s">
        <v>43</v>
      </c>
      <c r="BD4" s="171"/>
      <c r="BE4" s="172"/>
      <c r="BF4" s="173" t="s">
        <v>75</v>
      </c>
      <c r="BG4" s="174"/>
      <c r="BH4" s="175"/>
      <c r="BI4" s="170" t="s">
        <v>46</v>
      </c>
      <c r="BJ4" s="171"/>
      <c r="BK4" s="172"/>
      <c r="BL4" s="170" t="s">
        <v>47</v>
      </c>
      <c r="BM4" s="171"/>
      <c r="BN4" s="172"/>
      <c r="BO4" s="170" t="s">
        <v>48</v>
      </c>
      <c r="BP4" s="171"/>
      <c r="BQ4" s="172"/>
      <c r="BR4" s="173" t="s">
        <v>75</v>
      </c>
      <c r="BS4" s="174"/>
      <c r="BT4" s="175"/>
      <c r="BU4" s="170" t="s">
        <v>51</v>
      </c>
      <c r="BV4" s="171"/>
      <c r="BW4" s="172"/>
      <c r="BX4" s="170" t="s">
        <v>52</v>
      </c>
      <c r="BY4" s="171"/>
      <c r="BZ4" s="172"/>
      <c r="CA4" s="170" t="s">
        <v>53</v>
      </c>
      <c r="CB4" s="171"/>
      <c r="CC4" s="172"/>
      <c r="CD4" s="170" t="s">
        <v>54</v>
      </c>
      <c r="CE4" s="171"/>
      <c r="CF4" s="172"/>
      <c r="CG4" s="170" t="s">
        <v>55</v>
      </c>
      <c r="CH4" s="171"/>
      <c r="CI4" s="172"/>
      <c r="CJ4" s="170" t="s">
        <v>56</v>
      </c>
      <c r="CK4" s="171"/>
      <c r="CL4" s="172"/>
      <c r="CM4" s="170" t="s">
        <v>57</v>
      </c>
      <c r="CN4" s="171"/>
      <c r="CO4" s="172"/>
      <c r="CP4" s="170" t="s">
        <v>58</v>
      </c>
      <c r="CQ4" s="171"/>
      <c r="CR4" s="172"/>
      <c r="CS4" s="173" t="s">
        <v>76</v>
      </c>
      <c r="CT4" s="174"/>
      <c r="CU4" s="175"/>
      <c r="CV4" s="170" t="s">
        <v>61</v>
      </c>
      <c r="CW4" s="171"/>
      <c r="CX4" s="172"/>
      <c r="CY4" s="170" t="s">
        <v>62</v>
      </c>
      <c r="CZ4" s="171"/>
      <c r="DA4" s="172"/>
      <c r="DB4" s="173" t="s">
        <v>75</v>
      </c>
      <c r="DC4" s="174"/>
      <c r="DD4" s="175"/>
      <c r="DE4" s="176"/>
      <c r="DF4" s="177"/>
      <c r="DG4" s="178"/>
    </row>
    <row r="5" spans="1:111" ht="15.5" thickTop="1" thickBot="1" x14ac:dyDescent="0.4">
      <c r="A5" s="179" t="s">
        <v>77</v>
      </c>
      <c r="B5" s="180"/>
      <c r="C5" s="181"/>
      <c r="D5" s="164">
        <v>1</v>
      </c>
      <c r="E5" s="165"/>
      <c r="F5" s="166"/>
      <c r="G5" s="164">
        <v>1</v>
      </c>
      <c r="H5" s="165"/>
      <c r="I5" s="166"/>
      <c r="J5" s="164">
        <v>1</v>
      </c>
      <c r="K5" s="165"/>
      <c r="L5" s="166"/>
      <c r="M5" s="164">
        <v>1</v>
      </c>
      <c r="N5" s="165"/>
      <c r="O5" s="166"/>
      <c r="P5" s="164">
        <v>1</v>
      </c>
      <c r="Q5" s="165"/>
      <c r="R5" s="166"/>
      <c r="S5" s="159">
        <v>5</v>
      </c>
      <c r="T5" s="159"/>
      <c r="U5" s="160"/>
      <c r="V5" s="164">
        <v>1</v>
      </c>
      <c r="W5" s="165"/>
      <c r="X5" s="166"/>
      <c r="Y5" s="164">
        <v>1</v>
      </c>
      <c r="Z5" s="165"/>
      <c r="AA5" s="166"/>
      <c r="AB5" s="164">
        <v>2</v>
      </c>
      <c r="AC5" s="165"/>
      <c r="AD5" s="166"/>
      <c r="AE5" s="164">
        <v>1</v>
      </c>
      <c r="AF5" s="165"/>
      <c r="AG5" s="166"/>
      <c r="AH5" s="164">
        <v>1</v>
      </c>
      <c r="AI5" s="165"/>
      <c r="AJ5" s="166"/>
      <c r="AK5" s="164">
        <v>6</v>
      </c>
      <c r="AL5" s="165"/>
      <c r="AM5" s="166"/>
      <c r="AN5" s="164">
        <v>1</v>
      </c>
      <c r="AO5" s="165"/>
      <c r="AP5" s="166"/>
      <c r="AQ5" s="164">
        <v>1</v>
      </c>
      <c r="AR5" s="165"/>
      <c r="AS5" s="166"/>
      <c r="AT5" s="164">
        <v>1</v>
      </c>
      <c r="AU5" s="165"/>
      <c r="AV5" s="166"/>
      <c r="AW5" s="164">
        <v>1</v>
      </c>
      <c r="AX5" s="165"/>
      <c r="AY5" s="166"/>
      <c r="AZ5" s="167">
        <v>1</v>
      </c>
      <c r="BA5" s="168"/>
      <c r="BB5" s="169"/>
      <c r="BC5" s="167">
        <v>1</v>
      </c>
      <c r="BD5" s="168"/>
      <c r="BE5" s="169"/>
      <c r="BF5" s="167">
        <v>6</v>
      </c>
      <c r="BG5" s="168"/>
      <c r="BH5" s="169"/>
      <c r="BI5" s="164">
        <v>2</v>
      </c>
      <c r="BJ5" s="165"/>
      <c r="BK5" s="166"/>
      <c r="BL5" s="164">
        <v>1</v>
      </c>
      <c r="BM5" s="165"/>
      <c r="BN5" s="166"/>
      <c r="BO5" s="164">
        <v>1</v>
      </c>
      <c r="BP5" s="165"/>
      <c r="BQ5" s="166"/>
      <c r="BR5" s="164">
        <v>4</v>
      </c>
      <c r="BS5" s="165"/>
      <c r="BT5" s="166"/>
      <c r="BU5" s="164">
        <v>1</v>
      </c>
      <c r="BV5" s="165"/>
      <c r="BW5" s="166"/>
      <c r="BX5" s="164">
        <v>1</v>
      </c>
      <c r="BY5" s="165"/>
      <c r="BZ5" s="166"/>
      <c r="CA5" s="164">
        <v>0.5</v>
      </c>
      <c r="CB5" s="165"/>
      <c r="CC5" s="166"/>
      <c r="CD5" s="164">
        <v>0.5</v>
      </c>
      <c r="CE5" s="165"/>
      <c r="CF5" s="166"/>
      <c r="CG5" s="164">
        <v>0.5</v>
      </c>
      <c r="CH5" s="165"/>
      <c r="CI5" s="166"/>
      <c r="CJ5" s="164">
        <v>0.5</v>
      </c>
      <c r="CK5" s="165"/>
      <c r="CL5" s="166"/>
      <c r="CM5" s="164">
        <v>1</v>
      </c>
      <c r="CN5" s="165"/>
      <c r="CO5" s="166"/>
      <c r="CP5" s="164">
        <v>1</v>
      </c>
      <c r="CQ5" s="165"/>
      <c r="CR5" s="166"/>
      <c r="CS5" s="164">
        <v>6</v>
      </c>
      <c r="CT5" s="165"/>
      <c r="CU5" s="166"/>
      <c r="CV5" s="164">
        <v>1</v>
      </c>
      <c r="CW5" s="165"/>
      <c r="CX5" s="166"/>
      <c r="CY5" s="164">
        <v>2</v>
      </c>
      <c r="CZ5" s="165"/>
      <c r="DA5" s="166"/>
      <c r="DB5" s="164">
        <v>3</v>
      </c>
      <c r="DC5" s="165"/>
      <c r="DD5" s="166"/>
      <c r="DE5" s="153">
        <v>30</v>
      </c>
      <c r="DF5" s="154"/>
      <c r="DG5" s="155"/>
    </row>
    <row r="6" spans="1:111" ht="15.5" thickTop="1" thickBot="1" x14ac:dyDescent="0.4">
      <c r="A6" s="161" t="s">
        <v>78</v>
      </c>
      <c r="B6" s="162"/>
      <c r="C6" s="163"/>
      <c r="D6" s="156">
        <v>1</v>
      </c>
      <c r="E6" s="157"/>
      <c r="F6" s="158"/>
      <c r="G6" s="156">
        <v>1</v>
      </c>
      <c r="H6" s="157"/>
      <c r="I6" s="158"/>
      <c r="J6" s="156">
        <v>1</v>
      </c>
      <c r="K6" s="157"/>
      <c r="L6" s="158"/>
      <c r="M6" s="156">
        <v>1</v>
      </c>
      <c r="N6" s="157"/>
      <c r="O6" s="158"/>
      <c r="P6" s="156">
        <v>1</v>
      </c>
      <c r="Q6" s="157"/>
      <c r="R6" s="158"/>
      <c r="S6" s="159">
        <v>5</v>
      </c>
      <c r="T6" s="159"/>
      <c r="U6" s="160"/>
      <c r="V6" s="156">
        <v>2</v>
      </c>
      <c r="W6" s="157"/>
      <c r="X6" s="158"/>
      <c r="Y6" s="156">
        <v>2</v>
      </c>
      <c r="Z6" s="157"/>
      <c r="AA6" s="158"/>
      <c r="AB6" s="156">
        <v>3</v>
      </c>
      <c r="AC6" s="157"/>
      <c r="AD6" s="158"/>
      <c r="AE6" s="156">
        <v>1</v>
      </c>
      <c r="AF6" s="157"/>
      <c r="AG6" s="158"/>
      <c r="AH6" s="156">
        <v>1</v>
      </c>
      <c r="AI6" s="157"/>
      <c r="AJ6" s="158"/>
      <c r="AK6" s="156">
        <v>9</v>
      </c>
      <c r="AL6" s="157"/>
      <c r="AM6" s="158"/>
      <c r="AN6" s="156">
        <v>1</v>
      </c>
      <c r="AO6" s="157"/>
      <c r="AP6" s="158"/>
      <c r="AQ6" s="156">
        <v>1</v>
      </c>
      <c r="AR6" s="157"/>
      <c r="AS6" s="158"/>
      <c r="AT6" s="156">
        <v>1</v>
      </c>
      <c r="AU6" s="157"/>
      <c r="AV6" s="158"/>
      <c r="AW6" s="156">
        <v>2</v>
      </c>
      <c r="AX6" s="157"/>
      <c r="AY6" s="158"/>
      <c r="AZ6" s="156">
        <v>2</v>
      </c>
      <c r="BA6" s="157"/>
      <c r="BB6" s="158"/>
      <c r="BC6" s="156">
        <v>1</v>
      </c>
      <c r="BD6" s="157"/>
      <c r="BE6" s="158"/>
      <c r="BF6" s="156">
        <v>8</v>
      </c>
      <c r="BG6" s="157"/>
      <c r="BH6" s="158"/>
      <c r="BI6" s="156">
        <v>1</v>
      </c>
      <c r="BJ6" s="157"/>
      <c r="BK6" s="158"/>
      <c r="BL6" s="156">
        <v>1</v>
      </c>
      <c r="BM6" s="157"/>
      <c r="BN6" s="158"/>
      <c r="BO6" s="156">
        <v>1</v>
      </c>
      <c r="BP6" s="157"/>
      <c r="BQ6" s="158"/>
      <c r="BR6" s="156">
        <v>3</v>
      </c>
      <c r="BS6" s="157"/>
      <c r="BT6" s="158"/>
      <c r="BU6" s="156">
        <v>1</v>
      </c>
      <c r="BV6" s="157"/>
      <c r="BW6" s="158"/>
      <c r="BX6" s="156">
        <v>1</v>
      </c>
      <c r="BY6" s="157"/>
      <c r="BZ6" s="158"/>
      <c r="CA6" s="156">
        <v>2</v>
      </c>
      <c r="CB6" s="157"/>
      <c r="CC6" s="158"/>
      <c r="CD6" s="156">
        <v>3</v>
      </c>
      <c r="CE6" s="157"/>
      <c r="CF6" s="158"/>
      <c r="CG6" s="156">
        <v>2</v>
      </c>
      <c r="CH6" s="157"/>
      <c r="CI6" s="158"/>
      <c r="CJ6" s="156">
        <v>3</v>
      </c>
      <c r="CK6" s="157"/>
      <c r="CL6" s="158"/>
      <c r="CM6" s="156">
        <v>1</v>
      </c>
      <c r="CN6" s="157"/>
      <c r="CO6" s="158"/>
      <c r="CP6" s="156">
        <v>1</v>
      </c>
      <c r="CQ6" s="157"/>
      <c r="CR6" s="158"/>
      <c r="CS6" s="156">
        <v>14</v>
      </c>
      <c r="CT6" s="157"/>
      <c r="CU6" s="158"/>
      <c r="CV6" s="156">
        <v>1</v>
      </c>
      <c r="CW6" s="157"/>
      <c r="CX6" s="158"/>
      <c r="CY6" s="156">
        <v>2</v>
      </c>
      <c r="CZ6" s="157"/>
      <c r="DA6" s="158"/>
      <c r="DB6" s="156">
        <v>3</v>
      </c>
      <c r="DC6" s="157"/>
      <c r="DD6" s="158"/>
      <c r="DE6" s="153">
        <v>42</v>
      </c>
      <c r="DF6" s="154"/>
      <c r="DG6" s="155"/>
    </row>
    <row r="7" spans="1:111" ht="78.5" thickTop="1" thickBot="1" x14ac:dyDescent="0.4">
      <c r="A7" s="37" t="s">
        <v>79</v>
      </c>
      <c r="B7" s="38" t="s">
        <v>80</v>
      </c>
      <c r="C7" s="39" t="s">
        <v>81</v>
      </c>
      <c r="D7" s="40" t="s">
        <v>18</v>
      </c>
      <c r="E7" s="41" t="s">
        <v>82</v>
      </c>
      <c r="F7" s="42" t="s">
        <v>20</v>
      </c>
      <c r="G7" s="40" t="s">
        <v>18</v>
      </c>
      <c r="H7" s="41" t="s">
        <v>82</v>
      </c>
      <c r="I7" s="42" t="s">
        <v>20</v>
      </c>
      <c r="J7" s="40" t="s">
        <v>18</v>
      </c>
      <c r="K7" s="41" t="s">
        <v>82</v>
      </c>
      <c r="L7" s="42" t="s">
        <v>20</v>
      </c>
      <c r="M7" s="40" t="s">
        <v>18</v>
      </c>
      <c r="N7" s="41" t="s">
        <v>82</v>
      </c>
      <c r="O7" s="43" t="s">
        <v>20</v>
      </c>
      <c r="P7" s="44" t="s">
        <v>18</v>
      </c>
      <c r="Q7" s="41" t="s">
        <v>82</v>
      </c>
      <c r="R7" s="42" t="s">
        <v>20</v>
      </c>
      <c r="S7" s="44" t="s">
        <v>18</v>
      </c>
      <c r="T7" s="41" t="s">
        <v>82</v>
      </c>
      <c r="U7" s="42" t="s">
        <v>20</v>
      </c>
      <c r="V7" s="40" t="s">
        <v>18</v>
      </c>
      <c r="W7" s="41" t="s">
        <v>82</v>
      </c>
      <c r="X7" s="42" t="s">
        <v>20</v>
      </c>
      <c r="Y7" s="40" t="s">
        <v>18</v>
      </c>
      <c r="Z7" s="41" t="s">
        <v>82</v>
      </c>
      <c r="AA7" s="42" t="s">
        <v>20</v>
      </c>
      <c r="AB7" s="40" t="s">
        <v>18</v>
      </c>
      <c r="AC7" s="41" t="s">
        <v>82</v>
      </c>
      <c r="AD7" s="42" t="s">
        <v>20</v>
      </c>
      <c r="AE7" s="40" t="s">
        <v>18</v>
      </c>
      <c r="AF7" s="41" t="s">
        <v>82</v>
      </c>
      <c r="AG7" s="42" t="s">
        <v>20</v>
      </c>
      <c r="AH7" s="40" t="s">
        <v>18</v>
      </c>
      <c r="AI7" s="41" t="s">
        <v>82</v>
      </c>
      <c r="AJ7" s="42" t="s">
        <v>20</v>
      </c>
      <c r="AK7" s="40" t="s">
        <v>18</v>
      </c>
      <c r="AL7" s="41" t="s">
        <v>82</v>
      </c>
      <c r="AM7" s="42" t="s">
        <v>20</v>
      </c>
      <c r="AN7" s="40" t="s">
        <v>18</v>
      </c>
      <c r="AO7" s="41" t="s">
        <v>82</v>
      </c>
      <c r="AP7" s="42" t="s">
        <v>20</v>
      </c>
      <c r="AQ7" s="40" t="s">
        <v>18</v>
      </c>
      <c r="AR7" s="41" t="s">
        <v>82</v>
      </c>
      <c r="AS7" s="42" t="s">
        <v>20</v>
      </c>
      <c r="AT7" s="40" t="s">
        <v>18</v>
      </c>
      <c r="AU7" s="41" t="s">
        <v>82</v>
      </c>
      <c r="AV7" s="42" t="s">
        <v>20</v>
      </c>
      <c r="AW7" s="40" t="s">
        <v>18</v>
      </c>
      <c r="AX7" s="41" t="s">
        <v>82</v>
      </c>
      <c r="AY7" s="42" t="s">
        <v>20</v>
      </c>
      <c r="AZ7" s="40" t="s">
        <v>18</v>
      </c>
      <c r="BA7" s="41" t="s">
        <v>82</v>
      </c>
      <c r="BB7" s="42" t="s">
        <v>20</v>
      </c>
      <c r="BC7" s="40" t="s">
        <v>18</v>
      </c>
      <c r="BD7" s="41" t="s">
        <v>82</v>
      </c>
      <c r="BE7" s="42" t="s">
        <v>20</v>
      </c>
      <c r="BF7" s="40" t="s">
        <v>18</v>
      </c>
      <c r="BG7" s="41" t="s">
        <v>82</v>
      </c>
      <c r="BH7" s="42" t="s">
        <v>20</v>
      </c>
      <c r="BI7" s="40" t="s">
        <v>18</v>
      </c>
      <c r="BJ7" s="41" t="s">
        <v>82</v>
      </c>
      <c r="BK7" s="42" t="s">
        <v>20</v>
      </c>
      <c r="BL7" s="40" t="s">
        <v>18</v>
      </c>
      <c r="BM7" s="41" t="s">
        <v>82</v>
      </c>
      <c r="BN7" s="42" t="s">
        <v>20</v>
      </c>
      <c r="BO7" s="40" t="s">
        <v>18</v>
      </c>
      <c r="BP7" s="41" t="s">
        <v>82</v>
      </c>
      <c r="BQ7" s="42" t="s">
        <v>20</v>
      </c>
      <c r="BR7" s="40" t="s">
        <v>18</v>
      </c>
      <c r="BS7" s="41" t="s">
        <v>82</v>
      </c>
      <c r="BT7" s="42" t="s">
        <v>20</v>
      </c>
      <c r="BU7" s="40" t="s">
        <v>18</v>
      </c>
      <c r="BV7" s="41" t="s">
        <v>82</v>
      </c>
      <c r="BW7" s="42" t="s">
        <v>20</v>
      </c>
      <c r="BX7" s="40" t="s">
        <v>18</v>
      </c>
      <c r="BY7" s="41" t="s">
        <v>82</v>
      </c>
      <c r="BZ7" s="42" t="s">
        <v>20</v>
      </c>
      <c r="CA7" s="40" t="s">
        <v>18</v>
      </c>
      <c r="CB7" s="41" t="s">
        <v>82</v>
      </c>
      <c r="CC7" s="42" t="s">
        <v>20</v>
      </c>
      <c r="CD7" s="40" t="s">
        <v>18</v>
      </c>
      <c r="CE7" s="41" t="s">
        <v>82</v>
      </c>
      <c r="CF7" s="42" t="s">
        <v>20</v>
      </c>
      <c r="CG7" s="40" t="s">
        <v>18</v>
      </c>
      <c r="CH7" s="41" t="s">
        <v>82</v>
      </c>
      <c r="CI7" s="42" t="s">
        <v>20</v>
      </c>
      <c r="CJ7" s="40" t="s">
        <v>18</v>
      </c>
      <c r="CK7" s="41" t="s">
        <v>82</v>
      </c>
      <c r="CL7" s="42" t="s">
        <v>20</v>
      </c>
      <c r="CM7" s="40" t="s">
        <v>18</v>
      </c>
      <c r="CN7" s="41" t="s">
        <v>82</v>
      </c>
      <c r="CO7" s="42" t="s">
        <v>20</v>
      </c>
      <c r="CP7" s="40" t="s">
        <v>18</v>
      </c>
      <c r="CQ7" s="41" t="s">
        <v>82</v>
      </c>
      <c r="CR7" s="42" t="s">
        <v>20</v>
      </c>
      <c r="CS7" s="40" t="s">
        <v>18</v>
      </c>
      <c r="CT7" s="41" t="s">
        <v>82</v>
      </c>
      <c r="CU7" s="42" t="s">
        <v>20</v>
      </c>
      <c r="CV7" s="40" t="s">
        <v>18</v>
      </c>
      <c r="CW7" s="41" t="s">
        <v>82</v>
      </c>
      <c r="CX7" s="42" t="s">
        <v>20</v>
      </c>
      <c r="CY7" s="40" t="s">
        <v>18</v>
      </c>
      <c r="CZ7" s="41" t="s">
        <v>82</v>
      </c>
      <c r="DA7" s="42" t="s">
        <v>20</v>
      </c>
      <c r="DB7" s="40" t="s">
        <v>18</v>
      </c>
      <c r="DC7" s="41" t="s">
        <v>82</v>
      </c>
      <c r="DD7" s="42" t="s">
        <v>20</v>
      </c>
      <c r="DE7" s="40" t="s">
        <v>83</v>
      </c>
      <c r="DF7" s="41" t="s">
        <v>84</v>
      </c>
      <c r="DG7" s="42" t="s">
        <v>20</v>
      </c>
    </row>
    <row r="8" spans="1:111" ht="17.5" thickTop="1" thickBot="1" x14ac:dyDescent="0.6">
      <c r="A8" s="45">
        <v>1</v>
      </c>
      <c r="B8" s="46" t="s">
        <v>85</v>
      </c>
      <c r="C8" s="47" t="s">
        <v>86</v>
      </c>
      <c r="D8" s="48">
        <v>19.5</v>
      </c>
      <c r="E8" s="49">
        <f>(D8+0)*1</f>
        <v>19.5</v>
      </c>
      <c r="F8" s="50">
        <v>1</v>
      </c>
      <c r="G8" s="48">
        <v>18.5</v>
      </c>
      <c r="H8" s="49">
        <f>(G8+0)*1</f>
        <v>18.5</v>
      </c>
      <c r="I8" s="50">
        <v>1</v>
      </c>
      <c r="J8" s="48">
        <v>14</v>
      </c>
      <c r="K8" s="49">
        <f>(J8+0)*1</f>
        <v>14</v>
      </c>
      <c r="L8" s="50">
        <v>1</v>
      </c>
      <c r="M8" s="51">
        <v>19</v>
      </c>
      <c r="N8" s="49">
        <f>(M8+0)*1</f>
        <v>19</v>
      </c>
      <c r="O8" s="50">
        <v>1</v>
      </c>
      <c r="P8" s="52">
        <v>18</v>
      </c>
      <c r="Q8" s="53">
        <f>(P8+0)*1</f>
        <v>18</v>
      </c>
      <c r="R8" s="54">
        <v>1</v>
      </c>
      <c r="S8" s="55">
        <f t="shared" ref="S8:S37" si="0">(E8+H8+K8+N8+Q8)/5</f>
        <v>17.8</v>
      </c>
      <c r="T8" s="49">
        <f>(S8+0)*5</f>
        <v>89</v>
      </c>
      <c r="U8" s="50">
        <f>F8+I8+L8+O8+R8</f>
        <v>5</v>
      </c>
      <c r="V8" s="56">
        <v>16.5</v>
      </c>
      <c r="W8" s="49">
        <f>(V8+0)*2</f>
        <v>33</v>
      </c>
      <c r="X8" s="50">
        <v>1</v>
      </c>
      <c r="Y8" s="57">
        <v>16.5</v>
      </c>
      <c r="Z8" s="49">
        <f>(Y8+0)*2</f>
        <v>33</v>
      </c>
      <c r="AA8" s="50">
        <v>1</v>
      </c>
      <c r="AB8" s="48">
        <v>17</v>
      </c>
      <c r="AC8" s="49">
        <f>(AB8+0)*3</f>
        <v>51</v>
      </c>
      <c r="AD8" s="50">
        <v>2</v>
      </c>
      <c r="AE8" s="48">
        <v>20</v>
      </c>
      <c r="AF8" s="49">
        <f>(AE8+0)*1</f>
        <v>20</v>
      </c>
      <c r="AG8" s="50">
        <v>1</v>
      </c>
      <c r="AH8" s="56">
        <v>10</v>
      </c>
      <c r="AI8" s="49">
        <f>AH8*1</f>
        <v>10</v>
      </c>
      <c r="AJ8" s="58">
        <f>(AH8*1)/12</f>
        <v>0.83333333333333337</v>
      </c>
      <c r="AK8" s="59">
        <f>(W8+Z8+AC8+AF8+AI8)/9</f>
        <v>16.333333333333332</v>
      </c>
      <c r="AL8" s="55">
        <f>AK8*9</f>
        <v>147</v>
      </c>
      <c r="AM8" s="50">
        <f>X8+AA8+AD8+AG8+AJ8</f>
        <v>5.833333333333333</v>
      </c>
      <c r="AN8" s="48">
        <v>5</v>
      </c>
      <c r="AO8" s="49">
        <f>(AN8+0)*1</f>
        <v>5</v>
      </c>
      <c r="AP8" s="50">
        <f>(AN8*1)/12</f>
        <v>0.41666666666666669</v>
      </c>
      <c r="AQ8" s="56">
        <v>20</v>
      </c>
      <c r="AR8" s="49">
        <f>(AQ8+0)*1</f>
        <v>20</v>
      </c>
      <c r="AS8" s="50">
        <v>1</v>
      </c>
      <c r="AT8" s="48">
        <v>12.5</v>
      </c>
      <c r="AU8" s="49">
        <f>(AT8+0)*1</f>
        <v>12.5</v>
      </c>
      <c r="AV8" s="50">
        <f>(AT8*1)/12</f>
        <v>1.0416666666666667</v>
      </c>
      <c r="AW8" s="48">
        <v>11.5</v>
      </c>
      <c r="AX8" s="49">
        <f>(AW8+0)*2</f>
        <v>23</v>
      </c>
      <c r="AY8" s="50">
        <f>(AW8*1)/12</f>
        <v>0.95833333333333337</v>
      </c>
      <c r="AZ8" s="56">
        <v>14.25</v>
      </c>
      <c r="BA8" s="49">
        <f>(AZ8+0)*2</f>
        <v>28.5</v>
      </c>
      <c r="BB8" s="50">
        <v>1</v>
      </c>
      <c r="BC8" s="48">
        <v>6</v>
      </c>
      <c r="BD8" s="49">
        <f>(BC8+0)*1</f>
        <v>6</v>
      </c>
      <c r="BE8" s="50">
        <f>(BC8*1)/12</f>
        <v>0.5</v>
      </c>
      <c r="BF8" s="53">
        <f>(AO8+AR8+AU8+AX8+BA8+BD8)/8</f>
        <v>11.875</v>
      </c>
      <c r="BG8" s="58">
        <f>(BF8+0)*8</f>
        <v>95</v>
      </c>
      <c r="BH8" s="50">
        <f>AP8+AS8+AV8+AY8+BB8+BE8</f>
        <v>4.916666666666667</v>
      </c>
      <c r="BI8" s="60">
        <v>9</v>
      </c>
      <c r="BJ8" s="49">
        <f>(BI8+0)*1</f>
        <v>9</v>
      </c>
      <c r="BK8" s="50">
        <v>2</v>
      </c>
      <c r="BL8" s="56">
        <v>18</v>
      </c>
      <c r="BM8" s="49">
        <f>(BL8+0)*1</f>
        <v>18</v>
      </c>
      <c r="BN8" s="50">
        <v>1</v>
      </c>
      <c r="BO8" s="61">
        <v>13.5</v>
      </c>
      <c r="BP8" s="49">
        <f>(BO8+0)*1</f>
        <v>13.5</v>
      </c>
      <c r="BQ8" s="50">
        <v>1</v>
      </c>
      <c r="BR8" s="62">
        <f>(BJ8+BM8+BP8)/3</f>
        <v>13.5</v>
      </c>
      <c r="BS8" s="49">
        <f>BR8*3</f>
        <v>40.5</v>
      </c>
      <c r="BT8" s="50">
        <f>BK8+BN8+BQ8</f>
        <v>4</v>
      </c>
      <c r="BU8" s="51">
        <v>15.75</v>
      </c>
      <c r="BV8" s="49">
        <f>(BU8+0)*1</f>
        <v>15.75</v>
      </c>
      <c r="BW8" s="50">
        <v>1</v>
      </c>
      <c r="BX8" s="52">
        <v>19</v>
      </c>
      <c r="BY8" s="49">
        <f>(BX8+0)*1</f>
        <v>19</v>
      </c>
      <c r="BZ8" s="50">
        <v>1</v>
      </c>
      <c r="CA8" s="48">
        <v>17</v>
      </c>
      <c r="CB8" s="49">
        <f>CA8*2</f>
        <v>34</v>
      </c>
      <c r="CC8" s="50">
        <v>0.5</v>
      </c>
      <c r="CD8" s="48">
        <v>16.5</v>
      </c>
      <c r="CE8" s="49">
        <f>CD8*3</f>
        <v>49.5</v>
      </c>
      <c r="CF8" s="50">
        <v>0.5</v>
      </c>
      <c r="CG8" s="48">
        <v>10</v>
      </c>
      <c r="CH8" s="49">
        <f>CG8*2</f>
        <v>20</v>
      </c>
      <c r="CI8" s="50">
        <f>(CG8*0.5)/12</f>
        <v>0.41666666666666669</v>
      </c>
      <c r="CJ8" s="48">
        <v>12</v>
      </c>
      <c r="CK8" s="49">
        <f>CJ8*3</f>
        <v>36</v>
      </c>
      <c r="CL8" s="50">
        <f>(CJ8*0.5)/12</f>
        <v>0.5</v>
      </c>
      <c r="CM8" s="56">
        <v>18</v>
      </c>
      <c r="CN8" s="49">
        <f>CM8*1</f>
        <v>18</v>
      </c>
      <c r="CO8" s="54">
        <v>1</v>
      </c>
      <c r="CP8" s="51">
        <v>13</v>
      </c>
      <c r="CQ8" s="49">
        <f>CP8*1</f>
        <v>13</v>
      </c>
      <c r="CR8" s="53">
        <v>1</v>
      </c>
      <c r="CS8" s="62">
        <f>(BV8+BY8+CB8+CE8+CH8+CK8+CN8+CQ8)/14</f>
        <v>14.660714285714286</v>
      </c>
      <c r="CT8" s="49">
        <f>CS8*14</f>
        <v>205.25</v>
      </c>
      <c r="CU8" s="50">
        <f>BW8+BZ8+CC8+CF8+CI8+CL8+CO8+CR8</f>
        <v>5.9166666666666661</v>
      </c>
      <c r="CV8" s="63">
        <v>15</v>
      </c>
      <c r="CW8" s="49">
        <f>CV8*1</f>
        <v>15</v>
      </c>
      <c r="CX8" s="50">
        <v>1</v>
      </c>
      <c r="CY8" s="63">
        <v>15</v>
      </c>
      <c r="CZ8" s="49">
        <f>CY8*2</f>
        <v>30</v>
      </c>
      <c r="DA8" s="50">
        <v>2</v>
      </c>
      <c r="DB8" s="62">
        <f>(CW8+CZ8)/3</f>
        <v>15</v>
      </c>
      <c r="DC8" s="49">
        <f>DB8*3</f>
        <v>45</v>
      </c>
      <c r="DD8" s="58">
        <f>CX8+DA8</f>
        <v>3</v>
      </c>
      <c r="DE8" s="64">
        <f t="shared" ref="DE8:DE17" si="1">(T8+AL8+BG8+BS8+CT8+DC8)/42</f>
        <v>14.803571428571429</v>
      </c>
      <c r="DF8" s="65">
        <f>(DE8*100)/20</f>
        <v>74.017857142857139</v>
      </c>
      <c r="DG8" s="66">
        <v>30</v>
      </c>
    </row>
    <row r="9" spans="1:111" ht="17.5" thickTop="1" thickBot="1" x14ac:dyDescent="0.6">
      <c r="A9" s="45">
        <v>2</v>
      </c>
      <c r="B9" s="67" t="s">
        <v>87</v>
      </c>
      <c r="C9" s="68" t="s">
        <v>88</v>
      </c>
      <c r="D9" s="69">
        <v>14.5</v>
      </c>
      <c r="E9" s="70">
        <f t="shared" ref="E9:E37" si="2">(D9+0)*1</f>
        <v>14.5</v>
      </c>
      <c r="F9" s="71">
        <f t="shared" ref="F9" si="3">(D9*1)/12</f>
        <v>1.2083333333333333</v>
      </c>
      <c r="G9" s="69">
        <v>11.5</v>
      </c>
      <c r="H9" s="49">
        <f t="shared" ref="H9:H37" si="4">(G9+0)*1</f>
        <v>11.5</v>
      </c>
      <c r="I9" s="71">
        <f t="shared" ref="I9" si="5">(G9*1)/12</f>
        <v>0.95833333333333337</v>
      </c>
      <c r="J9" s="69">
        <v>15</v>
      </c>
      <c r="K9" s="70">
        <f t="shared" ref="K9:K37" si="6">(J9+0)*1</f>
        <v>15</v>
      </c>
      <c r="L9" s="71">
        <v>1</v>
      </c>
      <c r="M9" s="72">
        <v>16</v>
      </c>
      <c r="N9" s="70">
        <f t="shared" ref="N9:N37" si="7">(M9+0)*1</f>
        <v>16</v>
      </c>
      <c r="O9" s="71">
        <v>1</v>
      </c>
      <c r="P9" s="52">
        <v>18</v>
      </c>
      <c r="Q9" s="73">
        <f t="shared" ref="Q9:Q37" si="8">(P9+0)*1</f>
        <v>18</v>
      </c>
      <c r="R9" s="74">
        <v>1</v>
      </c>
      <c r="S9" s="75">
        <f t="shared" si="0"/>
        <v>15</v>
      </c>
      <c r="T9" s="70">
        <f t="shared" ref="T9:T37" si="9">(S9+0)*5</f>
        <v>75</v>
      </c>
      <c r="U9" s="71">
        <f t="shared" ref="U9:U37" si="10">F9+I9+L9+O9+R9</f>
        <v>5.1666666666666661</v>
      </c>
      <c r="V9" s="76">
        <v>18</v>
      </c>
      <c r="W9" s="70">
        <f t="shared" ref="W9:W37" si="11">(V9+0)*2</f>
        <v>36</v>
      </c>
      <c r="X9" s="71">
        <v>1</v>
      </c>
      <c r="Y9" s="57">
        <v>17</v>
      </c>
      <c r="Z9" s="70">
        <f t="shared" ref="Z9:Z37" si="12">(Y9+0)*2</f>
        <v>34</v>
      </c>
      <c r="AA9" s="71">
        <v>1</v>
      </c>
      <c r="AB9" s="69">
        <v>14</v>
      </c>
      <c r="AC9" s="70">
        <f t="shared" ref="AC9:AC37" si="13">(AB9+0)*3</f>
        <v>42</v>
      </c>
      <c r="AD9" s="71">
        <v>2</v>
      </c>
      <c r="AE9" s="69">
        <v>14</v>
      </c>
      <c r="AF9" s="70">
        <f t="shared" ref="AF9:AF37" si="14">(AE9+0)*1</f>
        <v>14</v>
      </c>
      <c r="AG9" s="71">
        <v>1</v>
      </c>
      <c r="AH9" s="76">
        <v>10.5</v>
      </c>
      <c r="AI9" s="70">
        <f t="shared" ref="AI9:AI37" si="15">AH9*1</f>
        <v>10.5</v>
      </c>
      <c r="AJ9" s="77">
        <f t="shared" ref="AJ9:AJ37" si="16">(AH9*1)/12</f>
        <v>0.875</v>
      </c>
      <c r="AK9" s="78">
        <f t="shared" ref="AK9:AK37" si="17">(W9+Z9+AC9+AF9+AI9)/9</f>
        <v>15.166666666666666</v>
      </c>
      <c r="AL9" s="75">
        <f t="shared" ref="AL9:AL37" si="18">(AK9+0)*9</f>
        <v>136.5</v>
      </c>
      <c r="AM9" s="71">
        <f>X9+AA9+AD9+AG9+AJ9</f>
        <v>5.875</v>
      </c>
      <c r="AN9" s="69">
        <v>6</v>
      </c>
      <c r="AO9" s="70">
        <f t="shared" ref="AO9:AO37" si="19">(AN9+0)*1</f>
        <v>6</v>
      </c>
      <c r="AP9" s="71">
        <f t="shared" ref="AP9:AP37" si="20">(AN9*1)/12</f>
        <v>0.5</v>
      </c>
      <c r="AQ9" s="76">
        <v>18.5</v>
      </c>
      <c r="AR9" s="70">
        <f t="shared" ref="AR9:AR37" si="21">(AQ9+0)*1</f>
        <v>18.5</v>
      </c>
      <c r="AS9" s="71">
        <v>1</v>
      </c>
      <c r="AT9" s="69">
        <v>13</v>
      </c>
      <c r="AU9" s="70">
        <f t="shared" ref="AU9:AU37" si="22">(AT9+0)*1</f>
        <v>13</v>
      </c>
      <c r="AV9" s="71">
        <v>1</v>
      </c>
      <c r="AW9" s="69">
        <v>13</v>
      </c>
      <c r="AX9" s="70">
        <f t="shared" ref="AX9:AX37" si="23">(AW9+0)*2</f>
        <v>26</v>
      </c>
      <c r="AY9" s="71">
        <v>1</v>
      </c>
      <c r="AZ9" s="76">
        <v>10.75</v>
      </c>
      <c r="BA9" s="79">
        <f t="shared" ref="BA9:BA37" si="24">(AZ9+0)*2</f>
        <v>21.5</v>
      </c>
      <c r="BB9" s="80">
        <f t="shared" ref="BB9" si="25">(AZ9*1)/12</f>
        <v>0.89583333333333337</v>
      </c>
      <c r="BC9" s="69">
        <v>6</v>
      </c>
      <c r="BD9" s="79">
        <f t="shared" ref="BD9:BD37" si="26">(BC9+0)*1</f>
        <v>6</v>
      </c>
      <c r="BE9" s="80">
        <f t="shared" ref="BE9:BE10" si="27">(BC9*1)/12</f>
        <v>0.5</v>
      </c>
      <c r="BF9" s="73">
        <f t="shared" ref="BF9:BF37" si="28">(AO9+AR9+AU9+AX9+BA9+BD9)/8</f>
        <v>11.375</v>
      </c>
      <c r="BG9" s="77">
        <f t="shared" ref="BG9:BG37" si="29">(BF9+0)*8</f>
        <v>91</v>
      </c>
      <c r="BH9" s="71">
        <f t="shared" ref="BH9:BH37" si="30">AP9+AS9+AV9+AY9+BB9+BE9</f>
        <v>4.895833333333333</v>
      </c>
      <c r="BI9" s="60">
        <v>8</v>
      </c>
      <c r="BJ9" s="70">
        <f t="shared" ref="BJ9:BJ37" si="31">(BI9+0)*1</f>
        <v>8</v>
      </c>
      <c r="BK9" s="71">
        <v>2</v>
      </c>
      <c r="BL9" s="76">
        <v>19.5</v>
      </c>
      <c r="BM9" s="70">
        <f t="shared" ref="BM9:BM37" si="32">(BL9+0)*1</f>
        <v>19.5</v>
      </c>
      <c r="BN9" s="71">
        <v>1</v>
      </c>
      <c r="BO9" s="81">
        <v>8</v>
      </c>
      <c r="BP9" s="70">
        <f t="shared" ref="BP9:BP37" si="33">(BO9+0)*1</f>
        <v>8</v>
      </c>
      <c r="BQ9" s="71">
        <f t="shared" ref="BQ9:BQ10" si="34">(BO9*1)/12</f>
        <v>0.66666666666666663</v>
      </c>
      <c r="BR9" s="82">
        <f t="shared" ref="BR9:BR37" si="35">(BJ9+BM9+BP9)/3</f>
        <v>11.833333333333334</v>
      </c>
      <c r="BS9" s="70">
        <f t="shared" ref="BS9:BS37" si="36">BR9*3</f>
        <v>35.5</v>
      </c>
      <c r="BT9" s="71">
        <f t="shared" ref="BT9:BT37" si="37">BK9+BN9+BQ9</f>
        <v>3.6666666666666665</v>
      </c>
      <c r="BU9" s="72">
        <v>19.75</v>
      </c>
      <c r="BV9" s="70">
        <f t="shared" ref="BV9:BV37" si="38">(BU9+0)*1</f>
        <v>19.75</v>
      </c>
      <c r="BW9" s="71">
        <v>1</v>
      </c>
      <c r="BX9" s="52">
        <v>20</v>
      </c>
      <c r="BY9" s="70">
        <f t="shared" ref="BY9:BY37" si="39">(BX9+0)*1</f>
        <v>20</v>
      </c>
      <c r="BZ9" s="71">
        <v>1</v>
      </c>
      <c r="CA9" s="69">
        <v>18</v>
      </c>
      <c r="CB9" s="70">
        <f t="shared" ref="CB9:CB37" si="40">CA9*2</f>
        <v>36</v>
      </c>
      <c r="CC9" s="71">
        <v>0.5</v>
      </c>
      <c r="CD9" s="69">
        <v>12.75</v>
      </c>
      <c r="CE9" s="70">
        <f t="shared" ref="CE9:CE37" si="41">CD9*3</f>
        <v>38.25</v>
      </c>
      <c r="CF9" s="71">
        <f t="shared" ref="CF9:CF10" si="42">(CD9*0.5)/12</f>
        <v>0.53125</v>
      </c>
      <c r="CG9" s="69">
        <v>14.5</v>
      </c>
      <c r="CH9" s="70">
        <f t="shared" ref="CH9:CH37" si="43">CG9*2</f>
        <v>29</v>
      </c>
      <c r="CI9" s="71">
        <v>0.5</v>
      </c>
      <c r="CJ9" s="69">
        <v>12</v>
      </c>
      <c r="CK9" s="70">
        <f t="shared" ref="CK9:CK37" si="44">CJ9*3</f>
        <v>36</v>
      </c>
      <c r="CL9" s="71">
        <f t="shared" ref="CL9:CL37" si="45">(CJ9*0.5)/12</f>
        <v>0.5</v>
      </c>
      <c r="CM9" s="76">
        <v>17</v>
      </c>
      <c r="CN9" s="70">
        <f t="shared" ref="CN9:CN37" si="46">CM9*1</f>
        <v>17</v>
      </c>
      <c r="CO9" s="83">
        <v>1</v>
      </c>
      <c r="CP9" s="72">
        <v>11.5</v>
      </c>
      <c r="CQ9" s="79">
        <f t="shared" ref="CQ9:CQ37" si="47">CP9*1</f>
        <v>11.5</v>
      </c>
      <c r="CR9" s="73">
        <f t="shared" ref="CR9:CR10" si="48">(CP9*1)/12</f>
        <v>0.95833333333333337</v>
      </c>
      <c r="CS9" s="82">
        <f t="shared" ref="CS9:CS37" si="49">(BV9+BY9+CB9+CE9+CH9+CK9+CN9+CQ9)/14</f>
        <v>14.821428571428571</v>
      </c>
      <c r="CT9" s="70">
        <f t="shared" ref="CT9:CT37" si="50">CS9*14</f>
        <v>207.5</v>
      </c>
      <c r="CU9" s="71">
        <f t="shared" ref="CU9:CU37" si="51">BW9+BZ9+CC9+CF9+CI9+CL9+CO9+CR9</f>
        <v>5.989583333333333</v>
      </c>
      <c r="CV9" s="84">
        <v>15</v>
      </c>
      <c r="CW9" s="70">
        <f t="shared" ref="CW9:CW37" si="52">CV9*1</f>
        <v>15</v>
      </c>
      <c r="CX9" s="71">
        <v>1</v>
      </c>
      <c r="CY9" s="84">
        <v>17</v>
      </c>
      <c r="CZ9" s="70">
        <f t="shared" ref="CZ9:CZ37" si="53">CY9*2</f>
        <v>34</v>
      </c>
      <c r="DA9" s="71">
        <v>2</v>
      </c>
      <c r="DB9" s="82">
        <f t="shared" ref="DB9:DB37" si="54">(CW9+CZ9)/3</f>
        <v>16.333333333333332</v>
      </c>
      <c r="DC9" s="70">
        <f t="shared" ref="DC9:DC37" si="55">DB9*3</f>
        <v>49</v>
      </c>
      <c r="DD9" s="77">
        <f t="shared" ref="DD9:DD37" si="56">CX9+DA9</f>
        <v>3</v>
      </c>
      <c r="DE9" s="64">
        <f t="shared" si="1"/>
        <v>14.154761904761905</v>
      </c>
      <c r="DF9" s="85">
        <f t="shared" ref="DF9:DF37" si="57">(DE9*100)/20</f>
        <v>70.773809523809533</v>
      </c>
      <c r="DG9" s="66">
        <v>30</v>
      </c>
    </row>
    <row r="10" spans="1:111" ht="17.5" thickTop="1" thickBot="1" x14ac:dyDescent="0.6">
      <c r="A10" s="45">
        <v>3</v>
      </c>
      <c r="B10" s="67" t="s">
        <v>89</v>
      </c>
      <c r="C10" s="68" t="s">
        <v>90</v>
      </c>
      <c r="D10" s="76">
        <v>12</v>
      </c>
      <c r="E10" s="70">
        <f t="shared" si="2"/>
        <v>12</v>
      </c>
      <c r="F10" s="71">
        <v>1</v>
      </c>
      <c r="G10" s="69">
        <v>17.25</v>
      </c>
      <c r="H10" s="49">
        <f t="shared" si="4"/>
        <v>17.25</v>
      </c>
      <c r="I10" s="71">
        <v>1</v>
      </c>
      <c r="J10" s="86">
        <v>12.5</v>
      </c>
      <c r="K10" s="70">
        <f t="shared" si="6"/>
        <v>12.5</v>
      </c>
      <c r="L10" s="71">
        <f t="shared" ref="L10" si="58">(J10*1)/12</f>
        <v>1.0416666666666667</v>
      </c>
      <c r="M10" s="72">
        <v>19</v>
      </c>
      <c r="N10" s="70">
        <f t="shared" si="7"/>
        <v>19</v>
      </c>
      <c r="O10" s="71">
        <v>1</v>
      </c>
      <c r="P10" s="52">
        <v>18</v>
      </c>
      <c r="Q10" s="73">
        <f t="shared" si="8"/>
        <v>18</v>
      </c>
      <c r="R10" s="74">
        <v>1</v>
      </c>
      <c r="S10" s="75">
        <f t="shared" si="0"/>
        <v>15.75</v>
      </c>
      <c r="T10" s="70">
        <f t="shared" si="9"/>
        <v>78.75</v>
      </c>
      <c r="U10" s="71">
        <f t="shared" si="10"/>
        <v>5.041666666666667</v>
      </c>
      <c r="V10" s="87">
        <v>18</v>
      </c>
      <c r="W10" s="70">
        <f t="shared" si="11"/>
        <v>36</v>
      </c>
      <c r="X10" s="71">
        <f t="shared" ref="X10" si="59">(V10*1)/12</f>
        <v>1.5</v>
      </c>
      <c r="Y10" s="88">
        <v>15</v>
      </c>
      <c r="Z10" s="70">
        <f t="shared" si="12"/>
        <v>30</v>
      </c>
      <c r="AA10" s="71">
        <f t="shared" ref="AA10" si="60">(Y10*1)/12</f>
        <v>1.25</v>
      </c>
      <c r="AB10" s="69">
        <v>16</v>
      </c>
      <c r="AC10" s="70">
        <f t="shared" si="13"/>
        <v>48</v>
      </c>
      <c r="AD10" s="71">
        <v>2</v>
      </c>
      <c r="AE10" s="76">
        <v>16.5</v>
      </c>
      <c r="AF10" s="70">
        <f t="shared" si="14"/>
        <v>16.5</v>
      </c>
      <c r="AG10" s="71">
        <v>1</v>
      </c>
      <c r="AH10" s="87">
        <v>15</v>
      </c>
      <c r="AI10" s="70">
        <f t="shared" si="15"/>
        <v>15</v>
      </c>
      <c r="AJ10" s="77">
        <f t="shared" si="16"/>
        <v>1.25</v>
      </c>
      <c r="AK10" s="78">
        <f t="shared" si="17"/>
        <v>16.166666666666668</v>
      </c>
      <c r="AL10" s="75">
        <f t="shared" si="18"/>
        <v>145.5</v>
      </c>
      <c r="AM10" s="71">
        <f t="shared" ref="AM10:AM37" si="61">X10+AA10+AD10+AG10+AJ10</f>
        <v>7</v>
      </c>
      <c r="AN10" s="86">
        <v>8</v>
      </c>
      <c r="AO10" s="70">
        <f t="shared" si="19"/>
        <v>8</v>
      </c>
      <c r="AP10" s="71">
        <f t="shared" si="20"/>
        <v>0.66666666666666663</v>
      </c>
      <c r="AQ10" s="76">
        <v>17</v>
      </c>
      <c r="AR10" s="70">
        <f t="shared" si="21"/>
        <v>17</v>
      </c>
      <c r="AS10" s="71">
        <v>1</v>
      </c>
      <c r="AT10" s="87">
        <v>11</v>
      </c>
      <c r="AU10" s="70">
        <f t="shared" si="22"/>
        <v>11</v>
      </c>
      <c r="AV10" s="71">
        <f t="shared" ref="AV10:AV37" si="62">(AT10*1)/12</f>
        <v>0.91666666666666663</v>
      </c>
      <c r="AW10" s="86">
        <v>14</v>
      </c>
      <c r="AX10" s="70">
        <f t="shared" si="23"/>
        <v>28</v>
      </c>
      <c r="AY10" s="71">
        <f t="shared" ref="AY10" si="63">(AW10*1)/12</f>
        <v>1.1666666666666667</v>
      </c>
      <c r="AZ10" s="76">
        <v>13</v>
      </c>
      <c r="BA10" s="79">
        <f t="shared" si="24"/>
        <v>26</v>
      </c>
      <c r="BB10" s="80">
        <v>1</v>
      </c>
      <c r="BC10" s="86">
        <v>16</v>
      </c>
      <c r="BD10" s="79">
        <f t="shared" si="26"/>
        <v>16</v>
      </c>
      <c r="BE10" s="80">
        <f t="shared" si="27"/>
        <v>1.3333333333333333</v>
      </c>
      <c r="BF10" s="73">
        <f t="shared" si="28"/>
        <v>13.25</v>
      </c>
      <c r="BG10" s="77">
        <f t="shared" si="29"/>
        <v>106</v>
      </c>
      <c r="BH10" s="71">
        <f t="shared" si="30"/>
        <v>6.083333333333333</v>
      </c>
      <c r="BI10" s="60">
        <v>14.5</v>
      </c>
      <c r="BJ10" s="70">
        <f t="shared" si="31"/>
        <v>14.5</v>
      </c>
      <c r="BK10" s="71">
        <v>2</v>
      </c>
      <c r="BL10" s="87">
        <v>16</v>
      </c>
      <c r="BM10" s="70">
        <f t="shared" si="32"/>
        <v>16</v>
      </c>
      <c r="BN10" s="71">
        <f t="shared" ref="BN10" si="64">(BL10*1)/12</f>
        <v>1.3333333333333333</v>
      </c>
      <c r="BO10" s="89">
        <v>8.5</v>
      </c>
      <c r="BP10" s="70">
        <f t="shared" si="33"/>
        <v>8.5</v>
      </c>
      <c r="BQ10" s="71">
        <f t="shared" si="34"/>
        <v>0.70833333333333337</v>
      </c>
      <c r="BR10" s="82">
        <f t="shared" si="35"/>
        <v>13</v>
      </c>
      <c r="BS10" s="70">
        <f t="shared" si="36"/>
        <v>39</v>
      </c>
      <c r="BT10" s="71">
        <f t="shared" si="37"/>
        <v>4.0416666666666661</v>
      </c>
      <c r="BU10" s="72">
        <v>7</v>
      </c>
      <c r="BV10" s="70">
        <f t="shared" si="38"/>
        <v>7</v>
      </c>
      <c r="BW10" s="71">
        <f t="shared" ref="BW10" si="65">(BU10*1)/12</f>
        <v>0.58333333333333337</v>
      </c>
      <c r="BX10" s="52">
        <v>15</v>
      </c>
      <c r="BY10" s="70">
        <f t="shared" si="39"/>
        <v>15</v>
      </c>
      <c r="BZ10" s="71">
        <v>1</v>
      </c>
      <c r="CA10" s="69">
        <v>12.5</v>
      </c>
      <c r="CB10" s="70">
        <f t="shared" si="40"/>
        <v>25</v>
      </c>
      <c r="CC10" s="71">
        <f t="shared" ref="CC10" si="66">(CA10*0.5)/12</f>
        <v>0.52083333333333337</v>
      </c>
      <c r="CD10" s="69">
        <v>9.5</v>
      </c>
      <c r="CE10" s="70">
        <f t="shared" si="41"/>
        <v>28.5</v>
      </c>
      <c r="CF10" s="71">
        <f t="shared" si="42"/>
        <v>0.39583333333333331</v>
      </c>
      <c r="CG10" s="86">
        <v>13.5</v>
      </c>
      <c r="CH10" s="70">
        <f t="shared" si="43"/>
        <v>27</v>
      </c>
      <c r="CI10" s="71">
        <f t="shared" ref="CI10" si="67">(CG10*0.5)/12</f>
        <v>0.5625</v>
      </c>
      <c r="CJ10" s="69">
        <v>7</v>
      </c>
      <c r="CK10" s="70">
        <f t="shared" si="44"/>
        <v>21</v>
      </c>
      <c r="CL10" s="71">
        <f t="shared" si="45"/>
        <v>0.29166666666666669</v>
      </c>
      <c r="CM10" s="87">
        <v>10</v>
      </c>
      <c r="CN10" s="70">
        <f t="shared" si="46"/>
        <v>10</v>
      </c>
      <c r="CO10" s="83">
        <f t="shared" ref="CO10" si="68">(CM10*1)/12</f>
        <v>0.83333333333333337</v>
      </c>
      <c r="CP10" s="72">
        <v>7</v>
      </c>
      <c r="CQ10" s="79">
        <f t="shared" si="47"/>
        <v>7</v>
      </c>
      <c r="CR10" s="73">
        <f t="shared" si="48"/>
        <v>0.58333333333333337</v>
      </c>
      <c r="CS10" s="82">
        <f t="shared" si="49"/>
        <v>10.035714285714286</v>
      </c>
      <c r="CT10" s="70">
        <f t="shared" si="50"/>
        <v>140.5</v>
      </c>
      <c r="CU10" s="71">
        <f t="shared" si="51"/>
        <v>4.770833333333333</v>
      </c>
      <c r="CV10" s="84">
        <v>13</v>
      </c>
      <c r="CW10" s="70">
        <f t="shared" si="52"/>
        <v>13</v>
      </c>
      <c r="CX10" s="71">
        <v>1</v>
      </c>
      <c r="CY10" s="84">
        <v>16</v>
      </c>
      <c r="CZ10" s="70">
        <f t="shared" si="53"/>
        <v>32</v>
      </c>
      <c r="DA10" s="71">
        <v>2</v>
      </c>
      <c r="DB10" s="82">
        <f t="shared" si="54"/>
        <v>15</v>
      </c>
      <c r="DC10" s="70">
        <f t="shared" si="55"/>
        <v>45</v>
      </c>
      <c r="DD10" s="77">
        <f t="shared" si="56"/>
        <v>3</v>
      </c>
      <c r="DE10" s="64">
        <f t="shared" si="1"/>
        <v>13.208333333333334</v>
      </c>
      <c r="DF10" s="85">
        <f t="shared" si="57"/>
        <v>66.041666666666671</v>
      </c>
      <c r="DG10" s="66">
        <v>30</v>
      </c>
    </row>
    <row r="11" spans="1:111" ht="17.5" thickTop="1" thickBot="1" x14ac:dyDescent="0.6">
      <c r="A11" s="45">
        <v>4</v>
      </c>
      <c r="B11" s="67" t="s">
        <v>87</v>
      </c>
      <c r="C11" s="68" t="s">
        <v>91</v>
      </c>
      <c r="D11" s="69">
        <v>15.5</v>
      </c>
      <c r="E11" s="70">
        <f t="shared" si="2"/>
        <v>15.5</v>
      </c>
      <c r="F11" s="71">
        <v>1</v>
      </c>
      <c r="G11" s="69">
        <v>13</v>
      </c>
      <c r="H11" s="49">
        <f t="shared" si="4"/>
        <v>13</v>
      </c>
      <c r="I11" s="71">
        <v>1</v>
      </c>
      <c r="J11" s="69">
        <v>13</v>
      </c>
      <c r="K11" s="70">
        <f t="shared" si="6"/>
        <v>13</v>
      </c>
      <c r="L11" s="71">
        <v>1</v>
      </c>
      <c r="M11" s="72">
        <v>20</v>
      </c>
      <c r="N11" s="70">
        <f t="shared" si="7"/>
        <v>20</v>
      </c>
      <c r="O11" s="71">
        <v>1</v>
      </c>
      <c r="P11" s="52">
        <v>18</v>
      </c>
      <c r="Q11" s="73">
        <f t="shared" si="8"/>
        <v>18</v>
      </c>
      <c r="R11" s="74">
        <v>1</v>
      </c>
      <c r="S11" s="75">
        <f t="shared" si="0"/>
        <v>15.9</v>
      </c>
      <c r="T11" s="70">
        <f t="shared" si="9"/>
        <v>79.5</v>
      </c>
      <c r="U11" s="71">
        <f t="shared" si="10"/>
        <v>5</v>
      </c>
      <c r="V11" s="76">
        <v>19</v>
      </c>
      <c r="W11" s="70">
        <f t="shared" si="11"/>
        <v>38</v>
      </c>
      <c r="X11" s="71">
        <v>1</v>
      </c>
      <c r="Y11" s="57">
        <v>18.5</v>
      </c>
      <c r="Z11" s="70">
        <f t="shared" si="12"/>
        <v>37</v>
      </c>
      <c r="AA11" s="71">
        <v>1</v>
      </c>
      <c r="AB11" s="69">
        <v>17</v>
      </c>
      <c r="AC11" s="70">
        <f t="shared" si="13"/>
        <v>51</v>
      </c>
      <c r="AD11" s="71">
        <v>2</v>
      </c>
      <c r="AE11" s="69">
        <v>20</v>
      </c>
      <c r="AF11" s="70">
        <f t="shared" si="14"/>
        <v>20</v>
      </c>
      <c r="AG11" s="71">
        <v>1</v>
      </c>
      <c r="AH11" s="76">
        <v>10.5</v>
      </c>
      <c r="AI11" s="70">
        <f t="shared" si="15"/>
        <v>10.5</v>
      </c>
      <c r="AJ11" s="77">
        <f t="shared" si="16"/>
        <v>0.875</v>
      </c>
      <c r="AK11" s="78">
        <f t="shared" si="17"/>
        <v>17.388888888888889</v>
      </c>
      <c r="AL11" s="75">
        <f t="shared" si="18"/>
        <v>156.5</v>
      </c>
      <c r="AM11" s="71">
        <f t="shared" si="61"/>
        <v>5.875</v>
      </c>
      <c r="AN11" s="69">
        <v>9.5</v>
      </c>
      <c r="AO11" s="70">
        <f t="shared" si="19"/>
        <v>9.5</v>
      </c>
      <c r="AP11" s="71">
        <f t="shared" si="20"/>
        <v>0.79166666666666663</v>
      </c>
      <c r="AQ11" s="76">
        <v>20</v>
      </c>
      <c r="AR11" s="70">
        <f t="shared" si="21"/>
        <v>20</v>
      </c>
      <c r="AS11" s="71">
        <v>1</v>
      </c>
      <c r="AT11" s="69">
        <v>12.5</v>
      </c>
      <c r="AU11" s="70">
        <f t="shared" si="22"/>
        <v>12.5</v>
      </c>
      <c r="AV11" s="71">
        <f t="shared" si="62"/>
        <v>1.0416666666666667</v>
      </c>
      <c r="AW11" s="69">
        <v>12.75</v>
      </c>
      <c r="AX11" s="70">
        <f t="shared" si="23"/>
        <v>25.5</v>
      </c>
      <c r="AY11" s="71">
        <v>1</v>
      </c>
      <c r="AZ11" s="76">
        <v>16.5</v>
      </c>
      <c r="BA11" s="79">
        <f t="shared" si="24"/>
        <v>33</v>
      </c>
      <c r="BB11" s="80">
        <v>1</v>
      </c>
      <c r="BC11" s="69">
        <v>15</v>
      </c>
      <c r="BD11" s="79">
        <f t="shared" si="26"/>
        <v>15</v>
      </c>
      <c r="BE11" s="80">
        <v>1</v>
      </c>
      <c r="BF11" s="73">
        <f t="shared" si="28"/>
        <v>14.4375</v>
      </c>
      <c r="BG11" s="77">
        <f t="shared" si="29"/>
        <v>115.5</v>
      </c>
      <c r="BH11" s="71">
        <f t="shared" si="30"/>
        <v>5.833333333333333</v>
      </c>
      <c r="BI11" s="60">
        <v>14</v>
      </c>
      <c r="BJ11" s="70">
        <f t="shared" si="31"/>
        <v>14</v>
      </c>
      <c r="BK11" s="71">
        <v>2</v>
      </c>
      <c r="BL11" s="76">
        <v>16</v>
      </c>
      <c r="BM11" s="70">
        <f t="shared" si="32"/>
        <v>16</v>
      </c>
      <c r="BN11" s="71">
        <v>1</v>
      </c>
      <c r="BO11" s="81">
        <v>13</v>
      </c>
      <c r="BP11" s="70">
        <f t="shared" si="33"/>
        <v>13</v>
      </c>
      <c r="BQ11" s="71">
        <v>1</v>
      </c>
      <c r="BR11" s="82">
        <f t="shared" si="35"/>
        <v>14.333333333333334</v>
      </c>
      <c r="BS11" s="70">
        <f t="shared" si="36"/>
        <v>43</v>
      </c>
      <c r="BT11" s="71">
        <f t="shared" si="37"/>
        <v>4</v>
      </c>
      <c r="BU11" s="72">
        <v>20</v>
      </c>
      <c r="BV11" s="70">
        <f t="shared" si="38"/>
        <v>20</v>
      </c>
      <c r="BW11" s="71">
        <v>1</v>
      </c>
      <c r="BX11" s="52">
        <v>16</v>
      </c>
      <c r="BY11" s="70">
        <f t="shared" si="39"/>
        <v>16</v>
      </c>
      <c r="BZ11" s="71">
        <v>1</v>
      </c>
      <c r="CA11" s="69">
        <v>16.5</v>
      </c>
      <c r="CB11" s="70">
        <f t="shared" si="40"/>
        <v>33</v>
      </c>
      <c r="CC11" s="71">
        <v>0.5</v>
      </c>
      <c r="CD11" s="69">
        <v>15.5</v>
      </c>
      <c r="CE11" s="70">
        <f t="shared" si="41"/>
        <v>46.5</v>
      </c>
      <c r="CF11" s="71">
        <v>0.5</v>
      </c>
      <c r="CG11" s="69">
        <v>15</v>
      </c>
      <c r="CH11" s="70">
        <f t="shared" si="43"/>
        <v>30</v>
      </c>
      <c r="CI11" s="71">
        <v>0.5</v>
      </c>
      <c r="CJ11" s="69">
        <v>12</v>
      </c>
      <c r="CK11" s="70">
        <f t="shared" si="44"/>
        <v>36</v>
      </c>
      <c r="CL11" s="71">
        <f t="shared" si="45"/>
        <v>0.5</v>
      </c>
      <c r="CM11" s="76">
        <v>14</v>
      </c>
      <c r="CN11" s="70">
        <f t="shared" si="46"/>
        <v>14</v>
      </c>
      <c r="CO11" s="83">
        <v>1</v>
      </c>
      <c r="CP11" s="72">
        <v>13.5</v>
      </c>
      <c r="CQ11" s="79">
        <f t="shared" si="47"/>
        <v>13.5</v>
      </c>
      <c r="CR11" s="73">
        <v>1</v>
      </c>
      <c r="CS11" s="82">
        <f t="shared" si="49"/>
        <v>14.928571428571429</v>
      </c>
      <c r="CT11" s="70">
        <f t="shared" si="50"/>
        <v>209</v>
      </c>
      <c r="CU11" s="71">
        <f t="shared" si="51"/>
        <v>6</v>
      </c>
      <c r="CV11" s="84">
        <v>18</v>
      </c>
      <c r="CW11" s="70">
        <f t="shared" si="52"/>
        <v>18</v>
      </c>
      <c r="CX11" s="71">
        <v>1</v>
      </c>
      <c r="CY11" s="84">
        <v>20</v>
      </c>
      <c r="CZ11" s="70">
        <f t="shared" si="53"/>
        <v>40</v>
      </c>
      <c r="DA11" s="71">
        <v>2</v>
      </c>
      <c r="DB11" s="82">
        <f t="shared" si="54"/>
        <v>19.333333333333332</v>
      </c>
      <c r="DC11" s="70">
        <f t="shared" si="55"/>
        <v>58</v>
      </c>
      <c r="DD11" s="77">
        <f t="shared" si="56"/>
        <v>3</v>
      </c>
      <c r="DE11" s="64">
        <f t="shared" si="1"/>
        <v>15.75</v>
      </c>
      <c r="DF11" s="85">
        <f t="shared" si="57"/>
        <v>78.75</v>
      </c>
      <c r="DG11" s="66">
        <v>30</v>
      </c>
    </row>
    <row r="12" spans="1:111" ht="17.5" thickTop="1" thickBot="1" x14ac:dyDescent="0.6">
      <c r="A12" s="45">
        <v>5</v>
      </c>
      <c r="B12" s="67" t="s">
        <v>92</v>
      </c>
      <c r="C12" s="68" t="s">
        <v>93</v>
      </c>
      <c r="D12" s="76">
        <v>12</v>
      </c>
      <c r="E12" s="70">
        <f t="shared" si="2"/>
        <v>12</v>
      </c>
      <c r="F12" s="71">
        <f t="shared" ref="F12:F37" si="69">(D12*1)/12</f>
        <v>1</v>
      </c>
      <c r="G12" s="69">
        <v>15</v>
      </c>
      <c r="H12" s="49">
        <f t="shared" si="4"/>
        <v>15</v>
      </c>
      <c r="I12" s="71">
        <v>1</v>
      </c>
      <c r="J12" s="69">
        <v>10</v>
      </c>
      <c r="K12" s="70">
        <f t="shared" si="6"/>
        <v>10</v>
      </c>
      <c r="L12" s="71">
        <f t="shared" ref="L12:L37" si="70">(J12*1)/12</f>
        <v>0.83333333333333337</v>
      </c>
      <c r="M12" s="72">
        <v>15</v>
      </c>
      <c r="N12" s="70">
        <f t="shared" si="7"/>
        <v>15</v>
      </c>
      <c r="O12" s="71">
        <v>1</v>
      </c>
      <c r="P12" s="52">
        <v>18</v>
      </c>
      <c r="Q12" s="73">
        <f t="shared" si="8"/>
        <v>18</v>
      </c>
      <c r="R12" s="74">
        <v>1</v>
      </c>
      <c r="S12" s="75">
        <f t="shared" si="0"/>
        <v>14</v>
      </c>
      <c r="T12" s="70">
        <f t="shared" si="9"/>
        <v>70</v>
      </c>
      <c r="U12" s="71">
        <f t="shared" si="10"/>
        <v>4.8333333333333339</v>
      </c>
      <c r="V12" s="76">
        <v>15</v>
      </c>
      <c r="W12" s="70">
        <f t="shared" si="11"/>
        <v>30</v>
      </c>
      <c r="X12" s="71">
        <v>1</v>
      </c>
      <c r="Y12" s="57">
        <v>16</v>
      </c>
      <c r="Z12" s="70">
        <f t="shared" si="12"/>
        <v>32</v>
      </c>
      <c r="AA12" s="71">
        <v>1</v>
      </c>
      <c r="AB12" s="69">
        <v>14</v>
      </c>
      <c r="AC12" s="70">
        <f t="shared" si="13"/>
        <v>42</v>
      </c>
      <c r="AD12" s="71">
        <v>2</v>
      </c>
      <c r="AE12" s="76">
        <v>10</v>
      </c>
      <c r="AF12" s="70">
        <f t="shared" si="14"/>
        <v>10</v>
      </c>
      <c r="AG12" s="71">
        <f t="shared" ref="AG12:AG37" si="71">(AE12*1)/12</f>
        <v>0.83333333333333337</v>
      </c>
      <c r="AH12" s="76">
        <v>10</v>
      </c>
      <c r="AI12" s="70">
        <f t="shared" si="15"/>
        <v>10</v>
      </c>
      <c r="AJ12" s="77">
        <f t="shared" si="16"/>
        <v>0.83333333333333337</v>
      </c>
      <c r="AK12" s="78">
        <f t="shared" si="17"/>
        <v>13.777777777777779</v>
      </c>
      <c r="AL12" s="75">
        <f t="shared" si="18"/>
        <v>124</v>
      </c>
      <c r="AM12" s="71">
        <f t="shared" si="61"/>
        <v>5.6666666666666661</v>
      </c>
      <c r="AN12" s="86">
        <v>10</v>
      </c>
      <c r="AO12" s="70">
        <f t="shared" si="19"/>
        <v>10</v>
      </c>
      <c r="AP12" s="71">
        <f t="shared" si="20"/>
        <v>0.83333333333333337</v>
      </c>
      <c r="AQ12" s="76">
        <v>18</v>
      </c>
      <c r="AR12" s="70">
        <f t="shared" si="21"/>
        <v>18</v>
      </c>
      <c r="AS12" s="71">
        <v>1</v>
      </c>
      <c r="AT12" s="87">
        <v>10</v>
      </c>
      <c r="AU12" s="70">
        <f t="shared" si="22"/>
        <v>10</v>
      </c>
      <c r="AV12" s="71">
        <f t="shared" si="62"/>
        <v>0.83333333333333337</v>
      </c>
      <c r="AW12" s="69">
        <v>10.75</v>
      </c>
      <c r="AX12" s="70">
        <f t="shared" si="23"/>
        <v>21.5</v>
      </c>
      <c r="AY12" s="71">
        <f t="shared" ref="AY12:AY37" si="72">(AW12*1)/12</f>
        <v>0.89583333333333337</v>
      </c>
      <c r="AZ12" s="76">
        <v>11</v>
      </c>
      <c r="BA12" s="79">
        <f t="shared" si="24"/>
        <v>22</v>
      </c>
      <c r="BB12" s="80">
        <f t="shared" ref="BB12:BB37" si="73">(AZ12*1)/12</f>
        <v>0.91666666666666663</v>
      </c>
      <c r="BC12" s="69">
        <v>3.5</v>
      </c>
      <c r="BD12" s="79">
        <f t="shared" si="26"/>
        <v>3.5</v>
      </c>
      <c r="BE12" s="80">
        <f t="shared" ref="BE12:BE37" si="74">(BC12*1)/12</f>
        <v>0.29166666666666669</v>
      </c>
      <c r="BF12" s="73">
        <f t="shared" si="28"/>
        <v>10.625</v>
      </c>
      <c r="BG12" s="77">
        <f t="shared" si="29"/>
        <v>85</v>
      </c>
      <c r="BH12" s="71">
        <f t="shared" si="30"/>
        <v>4.7708333333333339</v>
      </c>
      <c r="BI12" s="60">
        <v>8</v>
      </c>
      <c r="BJ12" s="70">
        <f t="shared" si="31"/>
        <v>8</v>
      </c>
      <c r="BK12" s="71">
        <f t="shared" ref="BK12:BK37" si="75">(BI12*2)/12</f>
        <v>1.3333333333333333</v>
      </c>
      <c r="BL12" s="76">
        <v>14</v>
      </c>
      <c r="BM12" s="70">
        <f t="shared" si="32"/>
        <v>14</v>
      </c>
      <c r="BN12" s="71">
        <v>1</v>
      </c>
      <c r="BO12" s="90">
        <v>5</v>
      </c>
      <c r="BP12" s="70">
        <f t="shared" si="33"/>
        <v>5</v>
      </c>
      <c r="BQ12" s="71">
        <f t="shared" ref="BQ12:BQ37" si="76">(BO12*1)/12</f>
        <v>0.41666666666666669</v>
      </c>
      <c r="BR12" s="82">
        <f t="shared" si="35"/>
        <v>9</v>
      </c>
      <c r="BS12" s="70">
        <f t="shared" si="36"/>
        <v>27</v>
      </c>
      <c r="BT12" s="71">
        <f t="shared" si="37"/>
        <v>2.7499999999999996</v>
      </c>
      <c r="BU12" s="72">
        <v>10</v>
      </c>
      <c r="BV12" s="70">
        <f t="shared" si="38"/>
        <v>10</v>
      </c>
      <c r="BW12" s="71">
        <f t="shared" ref="BW12:BW37" si="77">(BU12*1)/12</f>
        <v>0.83333333333333337</v>
      </c>
      <c r="BX12" s="52">
        <v>20</v>
      </c>
      <c r="BY12" s="70">
        <f t="shared" si="39"/>
        <v>20</v>
      </c>
      <c r="BZ12" s="71">
        <v>1</v>
      </c>
      <c r="CA12" s="76">
        <v>2.5</v>
      </c>
      <c r="CB12" s="70">
        <f t="shared" si="40"/>
        <v>5</v>
      </c>
      <c r="CC12" s="71">
        <f t="shared" ref="CC12:CC37" si="78">(CA12*0.5)/12</f>
        <v>0.10416666666666667</v>
      </c>
      <c r="CD12" s="69">
        <v>13</v>
      </c>
      <c r="CE12" s="70">
        <f t="shared" si="41"/>
        <v>39</v>
      </c>
      <c r="CF12" s="71">
        <f t="shared" ref="CF12:CF37" si="79">(CD12*0.5)/12</f>
        <v>0.54166666666666663</v>
      </c>
      <c r="CG12" s="69">
        <v>10.5</v>
      </c>
      <c r="CH12" s="70">
        <f t="shared" si="43"/>
        <v>21</v>
      </c>
      <c r="CI12" s="71">
        <f t="shared" ref="CI12:CI37" si="80">(CG12*0.5)/12</f>
        <v>0.4375</v>
      </c>
      <c r="CJ12" s="69">
        <v>8</v>
      </c>
      <c r="CK12" s="70">
        <f t="shared" si="44"/>
        <v>24</v>
      </c>
      <c r="CL12" s="71">
        <f t="shared" si="45"/>
        <v>0.33333333333333331</v>
      </c>
      <c r="CM12" s="76">
        <v>13</v>
      </c>
      <c r="CN12" s="70">
        <f t="shared" si="46"/>
        <v>13</v>
      </c>
      <c r="CO12" s="83">
        <v>1</v>
      </c>
      <c r="CP12" s="72"/>
      <c r="CQ12" s="79">
        <f t="shared" si="47"/>
        <v>0</v>
      </c>
      <c r="CR12" s="73">
        <f t="shared" ref="CR12:CR37" si="81">(CP12*1)/12</f>
        <v>0</v>
      </c>
      <c r="CS12" s="82">
        <f t="shared" si="49"/>
        <v>9.4285714285714288</v>
      </c>
      <c r="CT12" s="70">
        <f t="shared" si="50"/>
        <v>132</v>
      </c>
      <c r="CU12" s="71">
        <f t="shared" si="51"/>
        <v>4.25</v>
      </c>
      <c r="CV12" s="84">
        <v>16</v>
      </c>
      <c r="CW12" s="70">
        <f t="shared" si="52"/>
        <v>16</v>
      </c>
      <c r="CX12" s="71">
        <v>1</v>
      </c>
      <c r="CY12" s="84">
        <v>7.5</v>
      </c>
      <c r="CZ12" s="70">
        <f t="shared" si="53"/>
        <v>15</v>
      </c>
      <c r="DA12" s="71">
        <v>2</v>
      </c>
      <c r="DB12" s="82">
        <f t="shared" si="54"/>
        <v>10.333333333333334</v>
      </c>
      <c r="DC12" s="70">
        <f t="shared" si="55"/>
        <v>31</v>
      </c>
      <c r="DD12" s="77">
        <f t="shared" si="56"/>
        <v>3</v>
      </c>
      <c r="DE12" s="64">
        <f t="shared" si="1"/>
        <v>11.166666666666666</v>
      </c>
      <c r="DF12" s="85">
        <f t="shared" si="57"/>
        <v>55.833333333333329</v>
      </c>
      <c r="DG12" s="66">
        <f t="shared" ref="DG12:DG37" si="82">U12+AM12+BH12+BT12+CU12+DD12</f>
        <v>25.270833333333332</v>
      </c>
    </row>
    <row r="13" spans="1:111" ht="17.5" thickTop="1" thickBot="1" x14ac:dyDescent="0.6">
      <c r="A13" s="45">
        <v>6</v>
      </c>
      <c r="B13" s="67" t="s">
        <v>94</v>
      </c>
      <c r="C13" s="68" t="s">
        <v>95</v>
      </c>
      <c r="D13" s="69">
        <v>14.5</v>
      </c>
      <c r="E13" s="70">
        <f t="shared" si="2"/>
        <v>14.5</v>
      </c>
      <c r="F13" s="71">
        <v>1</v>
      </c>
      <c r="G13" s="69">
        <v>7</v>
      </c>
      <c r="H13" s="49">
        <f t="shared" si="4"/>
        <v>7</v>
      </c>
      <c r="I13" s="71">
        <f t="shared" ref="I13:I37" si="83">(G13*1)/12</f>
        <v>0.58333333333333337</v>
      </c>
      <c r="J13" s="69">
        <v>14.5</v>
      </c>
      <c r="K13" s="70">
        <f t="shared" si="6"/>
        <v>14.5</v>
      </c>
      <c r="L13" s="71">
        <v>1</v>
      </c>
      <c r="M13" s="72">
        <v>20</v>
      </c>
      <c r="N13" s="70">
        <f t="shared" si="7"/>
        <v>20</v>
      </c>
      <c r="O13" s="71">
        <v>1</v>
      </c>
      <c r="P13" s="52">
        <v>16</v>
      </c>
      <c r="Q13" s="73">
        <f t="shared" si="8"/>
        <v>16</v>
      </c>
      <c r="R13" s="74">
        <v>1</v>
      </c>
      <c r="S13" s="75">
        <f t="shared" si="0"/>
        <v>14.4</v>
      </c>
      <c r="T13" s="70">
        <f t="shared" si="9"/>
        <v>72</v>
      </c>
      <c r="U13" s="71">
        <f t="shared" si="10"/>
        <v>4.5833333333333339</v>
      </c>
      <c r="V13" s="76">
        <v>14.5</v>
      </c>
      <c r="W13" s="70">
        <f t="shared" si="11"/>
        <v>29</v>
      </c>
      <c r="X13" s="71">
        <v>1</v>
      </c>
      <c r="Y13" s="57">
        <v>15</v>
      </c>
      <c r="Z13" s="70">
        <f t="shared" si="12"/>
        <v>30</v>
      </c>
      <c r="AA13" s="71">
        <v>1</v>
      </c>
      <c r="AB13" s="69">
        <v>15</v>
      </c>
      <c r="AC13" s="70">
        <f t="shared" si="13"/>
        <v>45</v>
      </c>
      <c r="AD13" s="71">
        <v>2</v>
      </c>
      <c r="AE13" s="69">
        <v>16</v>
      </c>
      <c r="AF13" s="70">
        <f t="shared" si="14"/>
        <v>16</v>
      </c>
      <c r="AG13" s="71">
        <v>1</v>
      </c>
      <c r="AH13" s="76">
        <v>8.5</v>
      </c>
      <c r="AI13" s="70">
        <f t="shared" si="15"/>
        <v>8.5</v>
      </c>
      <c r="AJ13" s="77">
        <f t="shared" si="16"/>
        <v>0.70833333333333337</v>
      </c>
      <c r="AK13" s="78">
        <f t="shared" si="17"/>
        <v>14.277777777777779</v>
      </c>
      <c r="AL13" s="75">
        <f t="shared" si="18"/>
        <v>128.5</v>
      </c>
      <c r="AM13" s="71">
        <f t="shared" si="61"/>
        <v>5.708333333333333</v>
      </c>
      <c r="AN13" s="69">
        <v>9</v>
      </c>
      <c r="AO13" s="70">
        <f t="shared" si="19"/>
        <v>9</v>
      </c>
      <c r="AP13" s="71">
        <f t="shared" si="20"/>
        <v>0.75</v>
      </c>
      <c r="AQ13" s="76">
        <v>14</v>
      </c>
      <c r="AR13" s="70">
        <f t="shared" si="21"/>
        <v>14</v>
      </c>
      <c r="AS13" s="71">
        <v>1</v>
      </c>
      <c r="AT13" s="69">
        <v>18</v>
      </c>
      <c r="AU13" s="70">
        <f t="shared" si="22"/>
        <v>18</v>
      </c>
      <c r="AV13" s="71">
        <v>1</v>
      </c>
      <c r="AW13" s="69">
        <v>7.25</v>
      </c>
      <c r="AX13" s="70">
        <f t="shared" si="23"/>
        <v>14.5</v>
      </c>
      <c r="AY13" s="71">
        <f t="shared" si="72"/>
        <v>0.60416666666666663</v>
      </c>
      <c r="AZ13" s="76">
        <v>18.5</v>
      </c>
      <c r="BA13" s="79">
        <f t="shared" si="24"/>
        <v>37</v>
      </c>
      <c r="BB13" s="80">
        <v>1</v>
      </c>
      <c r="BC13" s="69">
        <v>15</v>
      </c>
      <c r="BD13" s="79">
        <f t="shared" si="26"/>
        <v>15</v>
      </c>
      <c r="BE13" s="80">
        <v>1</v>
      </c>
      <c r="BF13" s="73">
        <f t="shared" si="28"/>
        <v>13.4375</v>
      </c>
      <c r="BG13" s="77">
        <f t="shared" si="29"/>
        <v>107.5</v>
      </c>
      <c r="BH13" s="71">
        <f t="shared" si="30"/>
        <v>5.3541666666666661</v>
      </c>
      <c r="BI13" s="60">
        <v>11</v>
      </c>
      <c r="BJ13" s="70">
        <f t="shared" si="31"/>
        <v>11</v>
      </c>
      <c r="BK13" s="71">
        <v>2</v>
      </c>
      <c r="BL13" s="76">
        <v>16</v>
      </c>
      <c r="BM13" s="70">
        <f t="shared" si="32"/>
        <v>16</v>
      </c>
      <c r="BN13" s="71">
        <v>1</v>
      </c>
      <c r="BO13" s="81">
        <v>11.5</v>
      </c>
      <c r="BP13" s="70">
        <f t="shared" si="33"/>
        <v>11.5</v>
      </c>
      <c r="BQ13" s="71">
        <f t="shared" si="76"/>
        <v>0.95833333333333337</v>
      </c>
      <c r="BR13" s="82">
        <f t="shared" si="35"/>
        <v>12.833333333333334</v>
      </c>
      <c r="BS13" s="70">
        <f t="shared" si="36"/>
        <v>38.5</v>
      </c>
      <c r="BT13" s="71">
        <f t="shared" si="37"/>
        <v>3.9583333333333335</v>
      </c>
      <c r="BU13" s="72">
        <v>8</v>
      </c>
      <c r="BV13" s="70">
        <f t="shared" si="38"/>
        <v>8</v>
      </c>
      <c r="BW13" s="71">
        <f t="shared" si="77"/>
        <v>0.66666666666666663</v>
      </c>
      <c r="BX13" s="52">
        <v>15</v>
      </c>
      <c r="BY13" s="70">
        <f t="shared" si="39"/>
        <v>15</v>
      </c>
      <c r="BZ13" s="71">
        <v>1</v>
      </c>
      <c r="CA13" s="69">
        <v>8.5</v>
      </c>
      <c r="CB13" s="70">
        <f t="shared" si="40"/>
        <v>17</v>
      </c>
      <c r="CC13" s="71">
        <f t="shared" si="78"/>
        <v>0.35416666666666669</v>
      </c>
      <c r="CD13" s="69">
        <v>11</v>
      </c>
      <c r="CE13" s="70">
        <f t="shared" si="41"/>
        <v>33</v>
      </c>
      <c r="CF13" s="71">
        <f t="shared" si="79"/>
        <v>0.45833333333333331</v>
      </c>
      <c r="CG13" s="69">
        <v>10</v>
      </c>
      <c r="CH13" s="70">
        <f t="shared" si="43"/>
        <v>20</v>
      </c>
      <c r="CI13" s="71">
        <f t="shared" si="80"/>
        <v>0.41666666666666669</v>
      </c>
      <c r="CJ13" s="69">
        <v>7.5</v>
      </c>
      <c r="CK13" s="70">
        <f t="shared" si="44"/>
        <v>22.5</v>
      </c>
      <c r="CL13" s="71">
        <f t="shared" si="45"/>
        <v>0.3125</v>
      </c>
      <c r="CM13" s="76">
        <v>14</v>
      </c>
      <c r="CN13" s="70">
        <f t="shared" si="46"/>
        <v>14</v>
      </c>
      <c r="CO13" s="83">
        <v>1</v>
      </c>
      <c r="CP13" s="72">
        <v>12</v>
      </c>
      <c r="CQ13" s="79">
        <f t="shared" si="47"/>
        <v>12</v>
      </c>
      <c r="CR13" s="73">
        <f t="shared" si="81"/>
        <v>1</v>
      </c>
      <c r="CS13" s="82">
        <f t="shared" si="49"/>
        <v>10.107142857142858</v>
      </c>
      <c r="CT13" s="70">
        <f t="shared" si="50"/>
        <v>141.5</v>
      </c>
      <c r="CU13" s="71">
        <f t="shared" si="51"/>
        <v>5.208333333333333</v>
      </c>
      <c r="CV13" s="84">
        <v>18</v>
      </c>
      <c r="CW13" s="70">
        <f t="shared" si="52"/>
        <v>18</v>
      </c>
      <c r="CX13" s="71">
        <v>1</v>
      </c>
      <c r="CY13" s="84">
        <v>14</v>
      </c>
      <c r="CZ13" s="70">
        <f t="shared" si="53"/>
        <v>28</v>
      </c>
      <c r="DA13" s="71">
        <v>2</v>
      </c>
      <c r="DB13" s="82">
        <f t="shared" si="54"/>
        <v>15.333333333333334</v>
      </c>
      <c r="DC13" s="70">
        <f t="shared" si="55"/>
        <v>46</v>
      </c>
      <c r="DD13" s="77">
        <f t="shared" si="56"/>
        <v>3</v>
      </c>
      <c r="DE13" s="64">
        <f t="shared" si="1"/>
        <v>12.714285714285714</v>
      </c>
      <c r="DF13" s="85">
        <f t="shared" si="57"/>
        <v>63.571428571428569</v>
      </c>
      <c r="DG13" s="66">
        <v>30</v>
      </c>
    </row>
    <row r="14" spans="1:111" ht="17.5" thickTop="1" thickBot="1" x14ac:dyDescent="0.6">
      <c r="A14" s="45">
        <v>7</v>
      </c>
      <c r="B14" s="67" t="s">
        <v>96</v>
      </c>
      <c r="C14" s="91" t="s">
        <v>97</v>
      </c>
      <c r="D14" s="92">
        <v>13.5</v>
      </c>
      <c r="E14" s="93">
        <f t="shared" si="2"/>
        <v>13.5</v>
      </c>
      <c r="F14" s="94">
        <v>1</v>
      </c>
      <c r="G14" s="92">
        <v>8.5</v>
      </c>
      <c r="H14" s="95">
        <f t="shared" si="4"/>
        <v>8.5</v>
      </c>
      <c r="I14" s="94">
        <f t="shared" si="83"/>
        <v>0.70833333333333337</v>
      </c>
      <c r="J14" s="92">
        <v>10</v>
      </c>
      <c r="K14" s="93">
        <f t="shared" si="6"/>
        <v>10</v>
      </c>
      <c r="L14" s="94">
        <f t="shared" si="70"/>
        <v>0.83333333333333337</v>
      </c>
      <c r="M14" s="96">
        <v>10</v>
      </c>
      <c r="N14" s="93">
        <f t="shared" si="7"/>
        <v>10</v>
      </c>
      <c r="O14" s="94">
        <f t="shared" ref="O14:O37" si="84">(M14*1)/12</f>
        <v>0.83333333333333337</v>
      </c>
      <c r="P14" s="97">
        <v>18</v>
      </c>
      <c r="Q14" s="98">
        <f t="shared" si="8"/>
        <v>18</v>
      </c>
      <c r="R14" s="99">
        <v>1</v>
      </c>
      <c r="S14" s="100">
        <f t="shared" si="0"/>
        <v>12</v>
      </c>
      <c r="T14" s="93">
        <f t="shared" si="9"/>
        <v>60</v>
      </c>
      <c r="U14" s="94">
        <f t="shared" si="10"/>
        <v>4.375</v>
      </c>
      <c r="V14" s="101">
        <v>16</v>
      </c>
      <c r="W14" s="93">
        <f t="shared" si="11"/>
        <v>32</v>
      </c>
      <c r="X14" s="94">
        <v>1</v>
      </c>
      <c r="Y14" s="102">
        <v>14</v>
      </c>
      <c r="Z14" s="93">
        <f t="shared" si="12"/>
        <v>28</v>
      </c>
      <c r="AA14" s="94">
        <v>1</v>
      </c>
      <c r="AB14" s="92">
        <v>12.75</v>
      </c>
      <c r="AC14" s="93">
        <f t="shared" si="13"/>
        <v>38.25</v>
      </c>
      <c r="AD14" s="94">
        <v>2</v>
      </c>
      <c r="AE14" s="92">
        <v>16</v>
      </c>
      <c r="AF14" s="93">
        <f t="shared" si="14"/>
        <v>16</v>
      </c>
      <c r="AG14" s="94">
        <v>1</v>
      </c>
      <c r="AH14" s="96">
        <v>10</v>
      </c>
      <c r="AI14" s="93">
        <f t="shared" si="15"/>
        <v>10</v>
      </c>
      <c r="AJ14" s="103">
        <f t="shared" si="16"/>
        <v>0.83333333333333337</v>
      </c>
      <c r="AK14" s="104">
        <f t="shared" si="17"/>
        <v>13.805555555555555</v>
      </c>
      <c r="AL14" s="100">
        <f t="shared" si="18"/>
        <v>124.25</v>
      </c>
      <c r="AM14" s="94">
        <f t="shared" si="61"/>
        <v>5.833333333333333</v>
      </c>
      <c r="AN14" s="105">
        <v>9.5</v>
      </c>
      <c r="AO14" s="93">
        <f t="shared" si="19"/>
        <v>9.5</v>
      </c>
      <c r="AP14" s="94">
        <f t="shared" si="20"/>
        <v>0.79166666666666663</v>
      </c>
      <c r="AQ14" s="96">
        <v>18</v>
      </c>
      <c r="AR14" s="93">
        <f t="shared" si="21"/>
        <v>18</v>
      </c>
      <c r="AS14" s="94">
        <f t="shared" ref="AS14:AS37" si="85">(AQ14*1)/12</f>
        <v>1.5</v>
      </c>
      <c r="AT14" s="92">
        <v>12</v>
      </c>
      <c r="AU14" s="93">
        <f t="shared" si="22"/>
        <v>12</v>
      </c>
      <c r="AV14" s="94">
        <v>1</v>
      </c>
      <c r="AW14" s="105">
        <v>16</v>
      </c>
      <c r="AX14" s="93">
        <f t="shared" si="23"/>
        <v>32</v>
      </c>
      <c r="AY14" s="94">
        <f t="shared" si="72"/>
        <v>1.3333333333333333</v>
      </c>
      <c r="AZ14" s="101">
        <v>16</v>
      </c>
      <c r="BA14" s="106">
        <f t="shared" si="24"/>
        <v>32</v>
      </c>
      <c r="BB14" s="107">
        <v>1</v>
      </c>
      <c r="BC14" s="105">
        <v>15</v>
      </c>
      <c r="BD14" s="106">
        <f t="shared" si="26"/>
        <v>15</v>
      </c>
      <c r="BE14" s="107">
        <f t="shared" si="74"/>
        <v>1.25</v>
      </c>
      <c r="BF14" s="98">
        <f t="shared" si="28"/>
        <v>14.8125</v>
      </c>
      <c r="BG14" s="103">
        <f t="shared" si="29"/>
        <v>118.5</v>
      </c>
      <c r="BH14" s="94">
        <f t="shared" si="30"/>
        <v>6.875</v>
      </c>
      <c r="BI14" s="108">
        <v>7</v>
      </c>
      <c r="BJ14" s="93">
        <f t="shared" si="31"/>
        <v>7</v>
      </c>
      <c r="BK14" s="94">
        <f t="shared" si="75"/>
        <v>1.1666666666666667</v>
      </c>
      <c r="BL14" s="101">
        <v>11</v>
      </c>
      <c r="BM14" s="93">
        <f t="shared" si="32"/>
        <v>11</v>
      </c>
      <c r="BN14" s="109">
        <f t="shared" ref="BN14:BN37" si="86">(BL14*1)/12</f>
        <v>0.91666666666666663</v>
      </c>
      <c r="BO14" s="110">
        <v>15</v>
      </c>
      <c r="BP14" s="93">
        <f t="shared" si="33"/>
        <v>15</v>
      </c>
      <c r="BQ14" s="94">
        <f t="shared" si="76"/>
        <v>1.25</v>
      </c>
      <c r="BR14" s="111">
        <f t="shared" si="35"/>
        <v>11</v>
      </c>
      <c r="BS14" s="93">
        <f t="shared" si="36"/>
        <v>33</v>
      </c>
      <c r="BT14" s="94">
        <f t="shared" si="37"/>
        <v>3.3333333333333335</v>
      </c>
      <c r="BU14" s="112">
        <v>3</v>
      </c>
      <c r="BV14" s="93">
        <f t="shared" si="38"/>
        <v>3</v>
      </c>
      <c r="BW14" s="94">
        <f t="shared" si="77"/>
        <v>0.25</v>
      </c>
      <c r="BX14" s="97">
        <v>13</v>
      </c>
      <c r="BY14" s="93">
        <f t="shared" si="39"/>
        <v>13</v>
      </c>
      <c r="BZ14" s="94">
        <v>1</v>
      </c>
      <c r="CA14" s="92">
        <v>12.5</v>
      </c>
      <c r="CB14" s="93">
        <f t="shared" si="40"/>
        <v>25</v>
      </c>
      <c r="CC14" s="94">
        <f t="shared" si="78"/>
        <v>0.52083333333333337</v>
      </c>
      <c r="CD14" s="92">
        <v>12.5</v>
      </c>
      <c r="CE14" s="93">
        <f t="shared" si="41"/>
        <v>37.5</v>
      </c>
      <c r="CF14" s="94">
        <f t="shared" si="79"/>
        <v>0.52083333333333337</v>
      </c>
      <c r="CG14" s="105">
        <v>12</v>
      </c>
      <c r="CH14" s="93">
        <f t="shared" si="43"/>
        <v>24</v>
      </c>
      <c r="CI14" s="94">
        <f t="shared" si="80"/>
        <v>0.5</v>
      </c>
      <c r="CJ14" s="92">
        <v>7</v>
      </c>
      <c r="CK14" s="93">
        <f t="shared" si="44"/>
        <v>21</v>
      </c>
      <c r="CL14" s="94">
        <f t="shared" si="45"/>
        <v>0.29166666666666669</v>
      </c>
      <c r="CM14" s="101">
        <v>15.5</v>
      </c>
      <c r="CN14" s="93">
        <f t="shared" si="46"/>
        <v>15.5</v>
      </c>
      <c r="CO14" s="113">
        <v>1</v>
      </c>
      <c r="CP14" s="112">
        <v>16.5</v>
      </c>
      <c r="CQ14" s="106">
        <f t="shared" si="47"/>
        <v>16.5</v>
      </c>
      <c r="CR14" s="98">
        <v>1</v>
      </c>
      <c r="CS14" s="111">
        <f t="shared" si="49"/>
        <v>11.107142857142858</v>
      </c>
      <c r="CT14" s="93">
        <f t="shared" si="50"/>
        <v>155.5</v>
      </c>
      <c r="CU14" s="94">
        <f t="shared" si="51"/>
        <v>5.0833333333333339</v>
      </c>
      <c r="CV14" s="114">
        <v>17</v>
      </c>
      <c r="CW14" s="93">
        <f t="shared" si="52"/>
        <v>17</v>
      </c>
      <c r="CX14" s="94">
        <v>1</v>
      </c>
      <c r="CY14" s="115">
        <v>18</v>
      </c>
      <c r="CZ14" s="93">
        <f t="shared" si="53"/>
        <v>36</v>
      </c>
      <c r="DA14" s="94">
        <f t="shared" ref="DA14:DA37" si="87">(CY14*2)/12</f>
        <v>3</v>
      </c>
      <c r="DB14" s="111">
        <f t="shared" si="54"/>
        <v>17.666666666666668</v>
      </c>
      <c r="DC14" s="93">
        <f t="shared" si="55"/>
        <v>53</v>
      </c>
      <c r="DD14" s="103">
        <f t="shared" si="56"/>
        <v>4</v>
      </c>
      <c r="DE14" s="64">
        <f t="shared" si="1"/>
        <v>12.958333333333334</v>
      </c>
      <c r="DF14" s="116">
        <f t="shared" si="57"/>
        <v>64.791666666666671</v>
      </c>
      <c r="DG14" s="117">
        <v>30</v>
      </c>
    </row>
    <row r="15" spans="1:111" ht="17" thickBot="1" x14ac:dyDescent="0.6">
      <c r="A15" s="45">
        <v>8</v>
      </c>
      <c r="B15" s="118" t="s">
        <v>92</v>
      </c>
      <c r="C15" s="119" t="s">
        <v>98</v>
      </c>
      <c r="D15" s="120">
        <v>18.5</v>
      </c>
      <c r="E15" s="79">
        <f t="shared" si="2"/>
        <v>18.5</v>
      </c>
      <c r="F15" s="79">
        <v>1</v>
      </c>
      <c r="G15" s="120">
        <v>12.75</v>
      </c>
      <c r="H15" s="79">
        <f t="shared" si="4"/>
        <v>12.75</v>
      </c>
      <c r="I15" s="79">
        <v>1</v>
      </c>
      <c r="J15" s="120">
        <v>14</v>
      </c>
      <c r="K15" s="79">
        <f t="shared" si="6"/>
        <v>14</v>
      </c>
      <c r="L15" s="79">
        <v>1</v>
      </c>
      <c r="M15" s="121">
        <v>14</v>
      </c>
      <c r="N15" s="79">
        <f t="shared" si="7"/>
        <v>14</v>
      </c>
      <c r="O15" s="79">
        <v>1</v>
      </c>
      <c r="P15" s="122">
        <v>18</v>
      </c>
      <c r="Q15" s="79">
        <f t="shared" si="8"/>
        <v>18</v>
      </c>
      <c r="R15" s="79">
        <v>1</v>
      </c>
      <c r="S15" s="79">
        <f t="shared" si="0"/>
        <v>15.45</v>
      </c>
      <c r="T15" s="79">
        <f t="shared" si="9"/>
        <v>77.25</v>
      </c>
      <c r="U15" s="79">
        <f t="shared" si="10"/>
        <v>5</v>
      </c>
      <c r="V15" s="123">
        <v>17</v>
      </c>
      <c r="W15" s="79">
        <f t="shared" si="11"/>
        <v>34</v>
      </c>
      <c r="X15" s="79">
        <v>1</v>
      </c>
      <c r="Y15" s="122">
        <v>18</v>
      </c>
      <c r="Z15" s="79">
        <f t="shared" si="12"/>
        <v>36</v>
      </c>
      <c r="AA15" s="79">
        <v>1</v>
      </c>
      <c r="AB15" s="120">
        <v>18</v>
      </c>
      <c r="AC15" s="79">
        <f t="shared" si="13"/>
        <v>54</v>
      </c>
      <c r="AD15" s="79">
        <v>2</v>
      </c>
      <c r="AE15" s="120">
        <v>18</v>
      </c>
      <c r="AF15" s="79">
        <f t="shared" si="14"/>
        <v>18</v>
      </c>
      <c r="AG15" s="79">
        <v>1</v>
      </c>
      <c r="AH15" s="123">
        <v>11.5</v>
      </c>
      <c r="AI15" s="79">
        <f t="shared" si="15"/>
        <v>11.5</v>
      </c>
      <c r="AJ15" s="79">
        <f t="shared" si="16"/>
        <v>0.95833333333333337</v>
      </c>
      <c r="AK15" s="79">
        <f t="shared" si="17"/>
        <v>17.055555555555557</v>
      </c>
      <c r="AL15" s="79">
        <f t="shared" si="18"/>
        <v>153.5</v>
      </c>
      <c r="AM15" s="79">
        <f t="shared" si="61"/>
        <v>5.958333333333333</v>
      </c>
      <c r="AN15" s="120">
        <v>11.5</v>
      </c>
      <c r="AO15" s="79">
        <f t="shared" si="19"/>
        <v>11.5</v>
      </c>
      <c r="AP15" s="79">
        <f t="shared" si="20"/>
        <v>0.95833333333333337</v>
      </c>
      <c r="AQ15" s="123">
        <v>20</v>
      </c>
      <c r="AR15" s="79">
        <f t="shared" si="21"/>
        <v>20</v>
      </c>
      <c r="AS15" s="79">
        <v>1</v>
      </c>
      <c r="AT15" s="120">
        <v>14</v>
      </c>
      <c r="AU15" s="79">
        <f t="shared" si="22"/>
        <v>14</v>
      </c>
      <c r="AV15" s="79">
        <v>1</v>
      </c>
      <c r="AW15" s="120">
        <v>12.5</v>
      </c>
      <c r="AX15" s="79">
        <f t="shared" si="23"/>
        <v>25</v>
      </c>
      <c r="AY15" s="79">
        <f t="shared" si="72"/>
        <v>1.0416666666666667</v>
      </c>
      <c r="AZ15" s="123">
        <v>19.75</v>
      </c>
      <c r="BA15" s="79">
        <f t="shared" si="24"/>
        <v>39.5</v>
      </c>
      <c r="BB15" s="79">
        <v>1</v>
      </c>
      <c r="BC15" s="120">
        <v>12.5</v>
      </c>
      <c r="BD15" s="79">
        <f t="shared" si="26"/>
        <v>12.5</v>
      </c>
      <c r="BE15" s="79">
        <f t="shared" si="74"/>
        <v>1.0416666666666667</v>
      </c>
      <c r="BF15" s="79">
        <f t="shared" si="28"/>
        <v>15.3125</v>
      </c>
      <c r="BG15" s="79">
        <f t="shared" si="29"/>
        <v>122.5</v>
      </c>
      <c r="BH15" s="79">
        <f t="shared" si="30"/>
        <v>6.041666666666667</v>
      </c>
      <c r="BI15" s="124">
        <v>11</v>
      </c>
      <c r="BJ15" s="79">
        <f t="shared" si="31"/>
        <v>11</v>
      </c>
      <c r="BK15" s="79">
        <v>2</v>
      </c>
      <c r="BL15" s="123">
        <v>15</v>
      </c>
      <c r="BM15" s="79">
        <f t="shared" si="32"/>
        <v>15</v>
      </c>
      <c r="BN15" s="79">
        <v>1</v>
      </c>
      <c r="BO15" s="120">
        <v>8</v>
      </c>
      <c r="BP15" s="79">
        <f t="shared" si="33"/>
        <v>8</v>
      </c>
      <c r="BQ15" s="79">
        <f t="shared" si="76"/>
        <v>0.66666666666666663</v>
      </c>
      <c r="BR15" s="79">
        <f t="shared" si="35"/>
        <v>11.333333333333334</v>
      </c>
      <c r="BS15" s="79">
        <f t="shared" si="36"/>
        <v>34</v>
      </c>
      <c r="BT15" s="79">
        <f t="shared" si="37"/>
        <v>3.6666666666666665</v>
      </c>
      <c r="BU15" s="121">
        <v>11.5</v>
      </c>
      <c r="BV15" s="79">
        <f t="shared" si="38"/>
        <v>11.5</v>
      </c>
      <c r="BW15" s="79">
        <f t="shared" si="77"/>
        <v>0.95833333333333337</v>
      </c>
      <c r="BX15" s="122">
        <v>15</v>
      </c>
      <c r="BY15" s="79">
        <f t="shared" si="39"/>
        <v>15</v>
      </c>
      <c r="BZ15" s="79">
        <v>1</v>
      </c>
      <c r="CA15" s="120">
        <v>12</v>
      </c>
      <c r="CB15" s="79">
        <f t="shared" si="40"/>
        <v>24</v>
      </c>
      <c r="CC15" s="79">
        <f t="shared" si="78"/>
        <v>0.5</v>
      </c>
      <c r="CD15" s="120">
        <v>16.5</v>
      </c>
      <c r="CE15" s="79">
        <f t="shared" si="41"/>
        <v>49.5</v>
      </c>
      <c r="CF15" s="79">
        <f t="shared" si="79"/>
        <v>0.6875</v>
      </c>
      <c r="CG15" s="120">
        <v>6</v>
      </c>
      <c r="CH15" s="79">
        <f t="shared" si="43"/>
        <v>12</v>
      </c>
      <c r="CI15" s="79">
        <f t="shared" si="80"/>
        <v>0.25</v>
      </c>
      <c r="CJ15" s="120">
        <v>10.5</v>
      </c>
      <c r="CK15" s="79">
        <f t="shared" si="44"/>
        <v>31.5</v>
      </c>
      <c r="CL15" s="79">
        <f t="shared" si="45"/>
        <v>0.4375</v>
      </c>
      <c r="CM15" s="123">
        <v>10</v>
      </c>
      <c r="CN15" s="79">
        <f t="shared" si="46"/>
        <v>10</v>
      </c>
      <c r="CO15" s="79">
        <f t="shared" ref="CO15:CO37" si="88">(CM15*1)/12</f>
        <v>0.83333333333333337</v>
      </c>
      <c r="CP15" s="121">
        <v>14</v>
      </c>
      <c r="CQ15" s="79">
        <f t="shared" si="47"/>
        <v>14</v>
      </c>
      <c r="CR15" s="79">
        <v>1</v>
      </c>
      <c r="CS15" s="79">
        <f t="shared" si="49"/>
        <v>11.964285714285714</v>
      </c>
      <c r="CT15" s="79">
        <f t="shared" si="50"/>
        <v>167.5</v>
      </c>
      <c r="CU15" s="79">
        <f t="shared" si="51"/>
        <v>5.666666666666667</v>
      </c>
      <c r="CV15" s="125">
        <v>17</v>
      </c>
      <c r="CW15" s="79">
        <f t="shared" si="52"/>
        <v>17</v>
      </c>
      <c r="CX15" s="79">
        <v>1</v>
      </c>
      <c r="CY15" s="125">
        <v>20</v>
      </c>
      <c r="CZ15" s="79">
        <f t="shared" si="53"/>
        <v>40</v>
      </c>
      <c r="DA15" s="79">
        <v>2</v>
      </c>
      <c r="DB15" s="79">
        <f t="shared" si="54"/>
        <v>19</v>
      </c>
      <c r="DC15" s="79">
        <f t="shared" si="55"/>
        <v>57</v>
      </c>
      <c r="DD15" s="126">
        <f t="shared" si="56"/>
        <v>3</v>
      </c>
      <c r="DE15" s="64">
        <f t="shared" si="1"/>
        <v>14.56547619047619</v>
      </c>
      <c r="DF15" s="64">
        <f t="shared" si="57"/>
        <v>72.827380952380949</v>
      </c>
      <c r="DG15" s="64">
        <v>30</v>
      </c>
    </row>
    <row r="16" spans="1:111" ht="17" thickBot="1" x14ac:dyDescent="0.6">
      <c r="A16" s="45">
        <v>9</v>
      </c>
      <c r="B16" s="118" t="s">
        <v>99</v>
      </c>
      <c r="C16" s="119" t="s">
        <v>100</v>
      </c>
      <c r="D16" s="120">
        <v>19</v>
      </c>
      <c r="E16" s="79">
        <f t="shared" si="2"/>
        <v>19</v>
      </c>
      <c r="F16" s="79">
        <v>1</v>
      </c>
      <c r="G16" s="120">
        <v>18.25</v>
      </c>
      <c r="H16" s="79">
        <f t="shared" si="4"/>
        <v>18.25</v>
      </c>
      <c r="I16" s="79">
        <v>1</v>
      </c>
      <c r="J16" s="120">
        <v>15</v>
      </c>
      <c r="K16" s="79">
        <f t="shared" si="6"/>
        <v>15</v>
      </c>
      <c r="L16" s="79">
        <v>1</v>
      </c>
      <c r="M16" s="121">
        <v>16</v>
      </c>
      <c r="N16" s="79">
        <f t="shared" si="7"/>
        <v>16</v>
      </c>
      <c r="O16" s="79">
        <v>1</v>
      </c>
      <c r="P16" s="122">
        <v>17</v>
      </c>
      <c r="Q16" s="79">
        <f t="shared" si="8"/>
        <v>17</v>
      </c>
      <c r="R16" s="79">
        <v>1</v>
      </c>
      <c r="S16" s="79">
        <f t="shared" si="0"/>
        <v>17.05</v>
      </c>
      <c r="T16" s="79">
        <f t="shared" si="9"/>
        <v>85.25</v>
      </c>
      <c r="U16" s="79">
        <f t="shared" si="10"/>
        <v>5</v>
      </c>
      <c r="V16" s="123">
        <v>11.5</v>
      </c>
      <c r="W16" s="79">
        <f t="shared" si="11"/>
        <v>23</v>
      </c>
      <c r="X16" s="79">
        <f t="shared" ref="X16:X37" si="89">(V16*1)/12</f>
        <v>0.95833333333333337</v>
      </c>
      <c r="Y16" s="122">
        <v>14</v>
      </c>
      <c r="Z16" s="79">
        <f t="shared" si="12"/>
        <v>28</v>
      </c>
      <c r="AA16" s="79">
        <v>1</v>
      </c>
      <c r="AB16" s="120">
        <v>14.5</v>
      </c>
      <c r="AC16" s="79">
        <f t="shared" si="13"/>
        <v>43.5</v>
      </c>
      <c r="AD16" s="79">
        <v>2</v>
      </c>
      <c r="AE16" s="120">
        <v>11</v>
      </c>
      <c r="AF16" s="79">
        <f t="shared" si="14"/>
        <v>11</v>
      </c>
      <c r="AG16" s="79">
        <f t="shared" si="71"/>
        <v>0.91666666666666663</v>
      </c>
      <c r="AH16" s="123">
        <v>10</v>
      </c>
      <c r="AI16" s="79">
        <f t="shared" si="15"/>
        <v>10</v>
      </c>
      <c r="AJ16" s="79">
        <f t="shared" si="16"/>
        <v>0.83333333333333337</v>
      </c>
      <c r="AK16" s="79">
        <f t="shared" si="17"/>
        <v>12.833333333333334</v>
      </c>
      <c r="AL16" s="79">
        <f t="shared" si="18"/>
        <v>115.5</v>
      </c>
      <c r="AM16" s="79">
        <f t="shared" si="61"/>
        <v>5.708333333333333</v>
      </c>
      <c r="AN16" s="120">
        <v>6</v>
      </c>
      <c r="AO16" s="79">
        <f t="shared" si="19"/>
        <v>6</v>
      </c>
      <c r="AP16" s="79">
        <f t="shared" si="20"/>
        <v>0.5</v>
      </c>
      <c r="AQ16" s="123">
        <v>18.5</v>
      </c>
      <c r="AR16" s="79">
        <f t="shared" si="21"/>
        <v>18.5</v>
      </c>
      <c r="AS16" s="79">
        <v>1</v>
      </c>
      <c r="AT16" s="120">
        <v>14</v>
      </c>
      <c r="AU16" s="79">
        <f t="shared" si="22"/>
        <v>14</v>
      </c>
      <c r="AV16" s="79">
        <v>1</v>
      </c>
      <c r="AW16" s="120">
        <v>15.75</v>
      </c>
      <c r="AX16" s="79">
        <f t="shared" si="23"/>
        <v>31.5</v>
      </c>
      <c r="AY16" s="79">
        <v>1</v>
      </c>
      <c r="AZ16" s="123">
        <v>10</v>
      </c>
      <c r="BA16" s="79">
        <f t="shared" si="24"/>
        <v>20</v>
      </c>
      <c r="BB16" s="79">
        <f t="shared" si="73"/>
        <v>0.83333333333333337</v>
      </c>
      <c r="BC16" s="120">
        <v>15</v>
      </c>
      <c r="BD16" s="79">
        <f t="shared" si="26"/>
        <v>15</v>
      </c>
      <c r="BE16" s="79">
        <v>1</v>
      </c>
      <c r="BF16" s="79">
        <f t="shared" si="28"/>
        <v>13.125</v>
      </c>
      <c r="BG16" s="79">
        <f t="shared" si="29"/>
        <v>105</v>
      </c>
      <c r="BH16" s="79">
        <f t="shared" si="30"/>
        <v>5.333333333333333</v>
      </c>
      <c r="BI16" s="124">
        <v>14</v>
      </c>
      <c r="BJ16" s="79">
        <f t="shared" si="31"/>
        <v>14</v>
      </c>
      <c r="BK16" s="79">
        <v>2</v>
      </c>
      <c r="BL16" s="123">
        <v>13</v>
      </c>
      <c r="BM16" s="79">
        <f t="shared" si="32"/>
        <v>13</v>
      </c>
      <c r="BN16" s="79">
        <v>1</v>
      </c>
      <c r="BO16" s="120">
        <v>4</v>
      </c>
      <c r="BP16" s="79">
        <f t="shared" si="33"/>
        <v>4</v>
      </c>
      <c r="BQ16" s="79">
        <f t="shared" si="76"/>
        <v>0.33333333333333331</v>
      </c>
      <c r="BR16" s="79">
        <f t="shared" si="35"/>
        <v>10.333333333333334</v>
      </c>
      <c r="BS16" s="79">
        <f t="shared" si="36"/>
        <v>31</v>
      </c>
      <c r="BT16" s="79">
        <f t="shared" si="37"/>
        <v>3.3333333333333335</v>
      </c>
      <c r="BU16" s="121">
        <v>8</v>
      </c>
      <c r="BV16" s="79">
        <f t="shared" si="38"/>
        <v>8</v>
      </c>
      <c r="BW16" s="79">
        <f t="shared" si="77"/>
        <v>0.66666666666666663</v>
      </c>
      <c r="BX16" s="122">
        <v>20</v>
      </c>
      <c r="BY16" s="79">
        <f t="shared" si="39"/>
        <v>20</v>
      </c>
      <c r="BZ16" s="79">
        <v>1</v>
      </c>
      <c r="CA16" s="120">
        <v>19.5</v>
      </c>
      <c r="CB16" s="79">
        <f t="shared" si="40"/>
        <v>39</v>
      </c>
      <c r="CC16" s="79">
        <v>0.5</v>
      </c>
      <c r="CD16" s="120">
        <v>13.5</v>
      </c>
      <c r="CE16" s="79">
        <f t="shared" si="41"/>
        <v>40.5</v>
      </c>
      <c r="CF16" s="79">
        <v>0.5</v>
      </c>
      <c r="CG16" s="120">
        <v>13</v>
      </c>
      <c r="CH16" s="79">
        <f t="shared" si="43"/>
        <v>26</v>
      </c>
      <c r="CI16" s="79">
        <f t="shared" si="80"/>
        <v>0.54166666666666663</v>
      </c>
      <c r="CJ16" s="120">
        <v>6</v>
      </c>
      <c r="CK16" s="79">
        <f t="shared" si="44"/>
        <v>18</v>
      </c>
      <c r="CL16" s="79">
        <f t="shared" si="45"/>
        <v>0.25</v>
      </c>
      <c r="CM16" s="123">
        <v>12</v>
      </c>
      <c r="CN16" s="79">
        <f t="shared" si="46"/>
        <v>12</v>
      </c>
      <c r="CO16" s="79">
        <v>1</v>
      </c>
      <c r="CP16" s="121">
        <v>12</v>
      </c>
      <c r="CQ16" s="79">
        <f t="shared" si="47"/>
        <v>12</v>
      </c>
      <c r="CR16" s="79">
        <f t="shared" si="81"/>
        <v>1</v>
      </c>
      <c r="CS16" s="79">
        <f t="shared" si="49"/>
        <v>12.535714285714286</v>
      </c>
      <c r="CT16" s="79">
        <f t="shared" si="50"/>
        <v>175.5</v>
      </c>
      <c r="CU16" s="79">
        <f t="shared" si="51"/>
        <v>5.458333333333333</v>
      </c>
      <c r="CV16" s="125">
        <v>17</v>
      </c>
      <c r="CW16" s="79">
        <f t="shared" si="52"/>
        <v>17</v>
      </c>
      <c r="CX16" s="79">
        <v>1</v>
      </c>
      <c r="CY16" s="125">
        <v>17</v>
      </c>
      <c r="CZ16" s="79">
        <f t="shared" si="53"/>
        <v>34</v>
      </c>
      <c r="DA16" s="79">
        <v>2</v>
      </c>
      <c r="DB16" s="79">
        <f t="shared" si="54"/>
        <v>17</v>
      </c>
      <c r="DC16" s="79">
        <f t="shared" si="55"/>
        <v>51</v>
      </c>
      <c r="DD16" s="126">
        <f t="shared" si="56"/>
        <v>3</v>
      </c>
      <c r="DE16" s="64">
        <f t="shared" si="1"/>
        <v>13.410714285714286</v>
      </c>
      <c r="DF16" s="64">
        <f t="shared" si="57"/>
        <v>67.053571428571431</v>
      </c>
      <c r="DG16" s="64">
        <v>30</v>
      </c>
    </row>
    <row r="17" spans="1:111" ht="17" thickBot="1" x14ac:dyDescent="0.6">
      <c r="A17" s="45">
        <v>10</v>
      </c>
      <c r="B17" s="118" t="s">
        <v>101</v>
      </c>
      <c r="C17" s="119" t="s">
        <v>102</v>
      </c>
      <c r="D17" s="127">
        <v>10</v>
      </c>
      <c r="E17" s="79">
        <f t="shared" si="2"/>
        <v>10</v>
      </c>
      <c r="F17" s="79">
        <f t="shared" si="69"/>
        <v>0.83333333333333337</v>
      </c>
      <c r="G17" s="120">
        <v>18.5</v>
      </c>
      <c r="H17" s="79">
        <f t="shared" si="4"/>
        <v>18.5</v>
      </c>
      <c r="I17" s="79">
        <v>1</v>
      </c>
      <c r="J17" s="127">
        <v>10</v>
      </c>
      <c r="K17" s="79">
        <f t="shared" si="6"/>
        <v>10</v>
      </c>
      <c r="L17" s="79">
        <f t="shared" si="70"/>
        <v>0.83333333333333337</v>
      </c>
      <c r="M17" s="121">
        <v>15</v>
      </c>
      <c r="N17" s="79">
        <f t="shared" si="7"/>
        <v>15</v>
      </c>
      <c r="O17" s="79">
        <v>1</v>
      </c>
      <c r="P17" s="122">
        <v>17</v>
      </c>
      <c r="Q17" s="79">
        <f t="shared" si="8"/>
        <v>17</v>
      </c>
      <c r="R17" s="79">
        <v>1</v>
      </c>
      <c r="S17" s="79">
        <f t="shared" si="0"/>
        <v>14.1</v>
      </c>
      <c r="T17" s="79">
        <f t="shared" si="9"/>
        <v>70.5</v>
      </c>
      <c r="U17" s="79">
        <f t="shared" si="10"/>
        <v>4.666666666666667</v>
      </c>
      <c r="V17" s="123">
        <v>11</v>
      </c>
      <c r="W17" s="79">
        <f t="shared" si="11"/>
        <v>22</v>
      </c>
      <c r="X17" s="79">
        <f t="shared" si="89"/>
        <v>0.91666666666666663</v>
      </c>
      <c r="Y17" s="122">
        <v>10</v>
      </c>
      <c r="Z17" s="79">
        <f t="shared" si="12"/>
        <v>20</v>
      </c>
      <c r="AA17" s="79">
        <f t="shared" ref="AA17:AA37" si="90">(Y17*1)/12</f>
        <v>0.83333333333333337</v>
      </c>
      <c r="AB17" s="120">
        <v>8</v>
      </c>
      <c r="AC17" s="79">
        <f t="shared" si="13"/>
        <v>24</v>
      </c>
      <c r="AD17" s="79">
        <v>2</v>
      </c>
      <c r="AE17" s="120">
        <v>10</v>
      </c>
      <c r="AF17" s="79">
        <f t="shared" si="14"/>
        <v>10</v>
      </c>
      <c r="AG17" s="79">
        <f t="shared" si="71"/>
        <v>0.83333333333333337</v>
      </c>
      <c r="AH17" s="123">
        <v>11</v>
      </c>
      <c r="AI17" s="79">
        <f t="shared" si="15"/>
        <v>11</v>
      </c>
      <c r="AJ17" s="79">
        <f t="shared" si="16"/>
        <v>0.91666666666666663</v>
      </c>
      <c r="AK17" s="79">
        <f t="shared" si="17"/>
        <v>9.6666666666666661</v>
      </c>
      <c r="AL17" s="79">
        <f t="shared" si="18"/>
        <v>87</v>
      </c>
      <c r="AM17" s="79">
        <f t="shared" si="61"/>
        <v>5.5</v>
      </c>
      <c r="AN17" s="127">
        <v>2</v>
      </c>
      <c r="AO17" s="79">
        <f t="shared" si="19"/>
        <v>2</v>
      </c>
      <c r="AP17" s="79">
        <f t="shared" si="20"/>
        <v>0.16666666666666666</v>
      </c>
      <c r="AQ17" s="128">
        <v>10</v>
      </c>
      <c r="AR17" s="79">
        <f t="shared" si="21"/>
        <v>10</v>
      </c>
      <c r="AS17" s="79">
        <f t="shared" si="85"/>
        <v>0.83333333333333337</v>
      </c>
      <c r="AT17" s="127">
        <v>5.5</v>
      </c>
      <c r="AU17" s="79">
        <f t="shared" si="22"/>
        <v>5.5</v>
      </c>
      <c r="AV17" s="79">
        <f t="shared" si="62"/>
        <v>0.45833333333333331</v>
      </c>
      <c r="AW17" s="120">
        <v>15</v>
      </c>
      <c r="AX17" s="79">
        <f t="shared" si="23"/>
        <v>30</v>
      </c>
      <c r="AY17" s="79">
        <v>1</v>
      </c>
      <c r="AZ17" s="123">
        <v>14</v>
      </c>
      <c r="BA17" s="79">
        <f t="shared" si="24"/>
        <v>28</v>
      </c>
      <c r="BB17" s="79">
        <v>1</v>
      </c>
      <c r="BC17" s="127">
        <v>12</v>
      </c>
      <c r="BD17" s="79">
        <f t="shared" si="26"/>
        <v>12</v>
      </c>
      <c r="BE17" s="79">
        <f t="shared" si="74"/>
        <v>1</v>
      </c>
      <c r="BF17" s="79">
        <f t="shared" si="28"/>
        <v>10.9375</v>
      </c>
      <c r="BG17" s="79">
        <f t="shared" si="29"/>
        <v>87.5</v>
      </c>
      <c r="BH17" s="79">
        <f t="shared" si="30"/>
        <v>4.458333333333333</v>
      </c>
      <c r="BI17" s="124">
        <v>1</v>
      </c>
      <c r="BJ17" s="79">
        <f t="shared" si="31"/>
        <v>1</v>
      </c>
      <c r="BK17" s="79">
        <f t="shared" si="75"/>
        <v>0.16666666666666666</v>
      </c>
      <c r="BL17" s="123">
        <v>8.5</v>
      </c>
      <c r="BM17" s="79">
        <f t="shared" si="32"/>
        <v>8.5</v>
      </c>
      <c r="BN17" s="79">
        <f t="shared" si="86"/>
        <v>0.70833333333333337</v>
      </c>
      <c r="BO17" s="120">
        <v>2.5</v>
      </c>
      <c r="BP17" s="79">
        <f t="shared" si="33"/>
        <v>2.5</v>
      </c>
      <c r="BQ17" s="79">
        <f t="shared" si="76"/>
        <v>0.20833333333333334</v>
      </c>
      <c r="BR17" s="79">
        <f t="shared" si="35"/>
        <v>4</v>
      </c>
      <c r="BS17" s="79">
        <f t="shared" si="36"/>
        <v>12</v>
      </c>
      <c r="BT17" s="79">
        <f t="shared" si="37"/>
        <v>1.0833333333333333</v>
      </c>
      <c r="BU17" s="121">
        <v>13.5</v>
      </c>
      <c r="BV17" s="79">
        <f t="shared" si="38"/>
        <v>13.5</v>
      </c>
      <c r="BW17" s="79">
        <v>1</v>
      </c>
      <c r="BX17" s="122">
        <v>12</v>
      </c>
      <c r="BY17" s="79">
        <f t="shared" si="39"/>
        <v>12</v>
      </c>
      <c r="BZ17" s="79">
        <f t="shared" ref="BZ17:BZ37" si="91">(BX17*1)/12</f>
        <v>1</v>
      </c>
      <c r="CA17" s="127">
        <v>6</v>
      </c>
      <c r="CB17" s="79">
        <f t="shared" si="40"/>
        <v>12</v>
      </c>
      <c r="CC17" s="79">
        <f t="shared" si="78"/>
        <v>0.25</v>
      </c>
      <c r="CD17" s="120">
        <v>5</v>
      </c>
      <c r="CE17" s="79">
        <f t="shared" si="41"/>
        <v>15</v>
      </c>
      <c r="CF17" s="79">
        <f t="shared" si="79"/>
        <v>0.20833333333333334</v>
      </c>
      <c r="CG17" s="127">
        <v>4</v>
      </c>
      <c r="CH17" s="79">
        <f t="shared" si="43"/>
        <v>8</v>
      </c>
      <c r="CI17" s="79">
        <f t="shared" si="80"/>
        <v>0.16666666666666666</v>
      </c>
      <c r="CJ17" s="120">
        <v>2.5</v>
      </c>
      <c r="CK17" s="79">
        <f t="shared" si="44"/>
        <v>7.5</v>
      </c>
      <c r="CL17" s="79">
        <f t="shared" si="45"/>
        <v>0.10416666666666667</v>
      </c>
      <c r="CM17" s="128">
        <v>12</v>
      </c>
      <c r="CN17" s="79">
        <f t="shared" si="46"/>
        <v>12</v>
      </c>
      <c r="CO17" s="79">
        <f t="shared" si="88"/>
        <v>1</v>
      </c>
      <c r="CP17" s="121">
        <v>8</v>
      </c>
      <c r="CQ17" s="79">
        <f t="shared" si="47"/>
        <v>8</v>
      </c>
      <c r="CR17" s="79">
        <f t="shared" si="81"/>
        <v>0.66666666666666663</v>
      </c>
      <c r="CS17" s="79">
        <f t="shared" si="49"/>
        <v>6.2857142857142856</v>
      </c>
      <c r="CT17" s="79">
        <f t="shared" si="50"/>
        <v>88</v>
      </c>
      <c r="CU17" s="79">
        <f t="shared" si="51"/>
        <v>4.395833333333333</v>
      </c>
      <c r="CV17" s="129">
        <v>12</v>
      </c>
      <c r="CW17" s="79">
        <f t="shared" si="52"/>
        <v>12</v>
      </c>
      <c r="CX17" s="79">
        <f t="shared" ref="CX17:CX37" si="92">(CV17*1)/12</f>
        <v>1</v>
      </c>
      <c r="CY17" s="125">
        <v>15.5</v>
      </c>
      <c r="CZ17" s="79">
        <f t="shared" si="53"/>
        <v>31</v>
      </c>
      <c r="DA17" s="79">
        <v>2</v>
      </c>
      <c r="DB17" s="79">
        <f t="shared" si="54"/>
        <v>14.333333333333334</v>
      </c>
      <c r="DC17" s="79">
        <f t="shared" si="55"/>
        <v>43</v>
      </c>
      <c r="DD17" s="126">
        <f t="shared" si="56"/>
        <v>3</v>
      </c>
      <c r="DE17" s="64">
        <f t="shared" si="1"/>
        <v>9.2380952380952372</v>
      </c>
      <c r="DF17" s="64">
        <f t="shared" si="57"/>
        <v>46.19047619047619</v>
      </c>
      <c r="DG17" s="64">
        <f t="shared" si="82"/>
        <v>23.104166666666668</v>
      </c>
    </row>
    <row r="18" spans="1:111" ht="17" thickBot="1" x14ac:dyDescent="0.6">
      <c r="A18" s="45">
        <v>11</v>
      </c>
      <c r="B18" s="118" t="s">
        <v>87</v>
      </c>
      <c r="C18" s="119" t="s">
        <v>103</v>
      </c>
      <c r="D18" s="120">
        <v>18</v>
      </c>
      <c r="E18" s="79">
        <f t="shared" si="2"/>
        <v>18</v>
      </c>
      <c r="F18" s="79">
        <v>1</v>
      </c>
      <c r="G18" s="120">
        <v>19.25</v>
      </c>
      <c r="H18" s="79">
        <f t="shared" si="4"/>
        <v>19.25</v>
      </c>
      <c r="I18" s="79">
        <v>1</v>
      </c>
      <c r="J18" s="120">
        <v>12.5</v>
      </c>
      <c r="K18" s="79">
        <f t="shared" si="6"/>
        <v>12.5</v>
      </c>
      <c r="L18" s="79">
        <f t="shared" si="70"/>
        <v>1.0416666666666667</v>
      </c>
      <c r="M18" s="121">
        <v>19.5</v>
      </c>
      <c r="N18" s="79">
        <f t="shared" si="7"/>
        <v>19.5</v>
      </c>
      <c r="O18" s="79">
        <v>1</v>
      </c>
      <c r="P18" s="122">
        <v>18</v>
      </c>
      <c r="Q18" s="79">
        <f t="shared" si="8"/>
        <v>18</v>
      </c>
      <c r="R18" s="79">
        <v>1</v>
      </c>
      <c r="S18" s="79">
        <f t="shared" si="0"/>
        <v>17.45</v>
      </c>
      <c r="T18" s="79">
        <f t="shared" si="9"/>
        <v>87.25</v>
      </c>
      <c r="U18" s="79">
        <f t="shared" si="10"/>
        <v>5.041666666666667</v>
      </c>
      <c r="V18" s="123">
        <v>16.5</v>
      </c>
      <c r="W18" s="79">
        <f t="shared" si="11"/>
        <v>33</v>
      </c>
      <c r="X18" s="79">
        <v>1</v>
      </c>
      <c r="Y18" s="122">
        <v>18</v>
      </c>
      <c r="Z18" s="79">
        <f t="shared" si="12"/>
        <v>36</v>
      </c>
      <c r="AA18" s="79">
        <v>1</v>
      </c>
      <c r="AB18" s="120">
        <v>18</v>
      </c>
      <c r="AC18" s="79">
        <f t="shared" si="13"/>
        <v>54</v>
      </c>
      <c r="AD18" s="79">
        <v>2</v>
      </c>
      <c r="AE18" s="120">
        <v>16</v>
      </c>
      <c r="AF18" s="79">
        <f t="shared" si="14"/>
        <v>16</v>
      </c>
      <c r="AG18" s="79">
        <v>1</v>
      </c>
      <c r="AH18" s="123">
        <v>10.5</v>
      </c>
      <c r="AI18" s="79">
        <f t="shared" si="15"/>
        <v>10.5</v>
      </c>
      <c r="AJ18" s="79">
        <f t="shared" si="16"/>
        <v>0.875</v>
      </c>
      <c r="AK18" s="79">
        <f t="shared" si="17"/>
        <v>16.611111111111111</v>
      </c>
      <c r="AL18" s="79">
        <f t="shared" si="18"/>
        <v>149.5</v>
      </c>
      <c r="AM18" s="79">
        <f t="shared" si="61"/>
        <v>5.875</v>
      </c>
      <c r="AN18" s="120">
        <v>13</v>
      </c>
      <c r="AO18" s="79">
        <f t="shared" si="19"/>
        <v>13</v>
      </c>
      <c r="AP18" s="79">
        <v>1</v>
      </c>
      <c r="AQ18" s="123">
        <v>20</v>
      </c>
      <c r="AR18" s="79">
        <f t="shared" si="21"/>
        <v>20</v>
      </c>
      <c r="AS18" s="79">
        <v>1</v>
      </c>
      <c r="AT18" s="120">
        <v>15.5</v>
      </c>
      <c r="AU18" s="79">
        <f t="shared" si="22"/>
        <v>15.5</v>
      </c>
      <c r="AV18" s="79">
        <v>1</v>
      </c>
      <c r="AW18" s="120">
        <v>15</v>
      </c>
      <c r="AX18" s="79">
        <f t="shared" si="23"/>
        <v>30</v>
      </c>
      <c r="AY18" s="79">
        <v>1</v>
      </c>
      <c r="AZ18" s="123">
        <v>18.75</v>
      </c>
      <c r="BA18" s="79">
        <f t="shared" si="24"/>
        <v>37.5</v>
      </c>
      <c r="BB18" s="79">
        <v>1</v>
      </c>
      <c r="BC18" s="120">
        <v>14.5</v>
      </c>
      <c r="BD18" s="79">
        <f t="shared" si="26"/>
        <v>14.5</v>
      </c>
      <c r="BE18" s="79">
        <v>1</v>
      </c>
      <c r="BF18" s="79">
        <f t="shared" si="28"/>
        <v>16.3125</v>
      </c>
      <c r="BG18" s="79">
        <f t="shared" si="29"/>
        <v>130.5</v>
      </c>
      <c r="BH18" s="79">
        <f t="shared" si="30"/>
        <v>6</v>
      </c>
      <c r="BI18" s="124">
        <v>11</v>
      </c>
      <c r="BJ18" s="79">
        <f t="shared" si="31"/>
        <v>11</v>
      </c>
      <c r="BK18" s="79">
        <v>2</v>
      </c>
      <c r="BL18" s="123">
        <v>18</v>
      </c>
      <c r="BM18" s="79">
        <f t="shared" si="32"/>
        <v>18</v>
      </c>
      <c r="BN18" s="79">
        <v>1</v>
      </c>
      <c r="BO18" s="120">
        <v>14.5</v>
      </c>
      <c r="BP18" s="79">
        <f t="shared" si="33"/>
        <v>14.5</v>
      </c>
      <c r="BQ18" s="79">
        <v>1</v>
      </c>
      <c r="BR18" s="79">
        <f t="shared" si="35"/>
        <v>14.5</v>
      </c>
      <c r="BS18" s="79">
        <f t="shared" si="36"/>
        <v>43.5</v>
      </c>
      <c r="BT18" s="79">
        <f t="shared" si="37"/>
        <v>4</v>
      </c>
      <c r="BU18" s="121">
        <v>13</v>
      </c>
      <c r="BV18" s="79">
        <f t="shared" si="38"/>
        <v>13</v>
      </c>
      <c r="BW18" s="79">
        <v>1</v>
      </c>
      <c r="BX18" s="122">
        <v>20</v>
      </c>
      <c r="BY18" s="79">
        <f t="shared" si="39"/>
        <v>20</v>
      </c>
      <c r="BZ18" s="79">
        <v>1</v>
      </c>
      <c r="CA18" s="120">
        <v>15</v>
      </c>
      <c r="CB18" s="79">
        <f t="shared" si="40"/>
        <v>30</v>
      </c>
      <c r="CC18" s="79">
        <v>0.5</v>
      </c>
      <c r="CD18" s="120">
        <v>15.5</v>
      </c>
      <c r="CE18" s="79">
        <f t="shared" si="41"/>
        <v>46.5</v>
      </c>
      <c r="CF18" s="79">
        <v>0.5</v>
      </c>
      <c r="CG18" s="120">
        <v>17.5</v>
      </c>
      <c r="CH18" s="79">
        <f t="shared" si="43"/>
        <v>35</v>
      </c>
      <c r="CI18" s="79">
        <v>0.5</v>
      </c>
      <c r="CJ18" s="120">
        <v>10.5</v>
      </c>
      <c r="CK18" s="79">
        <f t="shared" si="44"/>
        <v>31.5</v>
      </c>
      <c r="CL18" s="79">
        <f t="shared" si="45"/>
        <v>0.4375</v>
      </c>
      <c r="CM18" s="123">
        <v>19</v>
      </c>
      <c r="CN18" s="79">
        <f t="shared" si="46"/>
        <v>19</v>
      </c>
      <c r="CO18" s="79">
        <v>1</v>
      </c>
      <c r="CP18" s="121">
        <v>12</v>
      </c>
      <c r="CQ18" s="79">
        <f t="shared" si="47"/>
        <v>12</v>
      </c>
      <c r="CR18" s="79">
        <f t="shared" si="81"/>
        <v>1</v>
      </c>
      <c r="CS18" s="79">
        <f t="shared" si="49"/>
        <v>14.785714285714286</v>
      </c>
      <c r="CT18" s="79">
        <f t="shared" si="50"/>
        <v>207</v>
      </c>
      <c r="CU18" s="79">
        <f t="shared" si="51"/>
        <v>5.9375</v>
      </c>
      <c r="CV18" s="125">
        <v>16</v>
      </c>
      <c r="CW18" s="79">
        <f t="shared" si="52"/>
        <v>16</v>
      </c>
      <c r="CX18" s="79">
        <v>1</v>
      </c>
      <c r="CY18" s="125">
        <v>18</v>
      </c>
      <c r="CZ18" s="79">
        <f t="shared" si="53"/>
        <v>36</v>
      </c>
      <c r="DA18" s="79">
        <v>2</v>
      </c>
      <c r="DB18" s="79">
        <f t="shared" si="54"/>
        <v>17.333333333333332</v>
      </c>
      <c r="DC18" s="79">
        <f t="shared" si="55"/>
        <v>52</v>
      </c>
      <c r="DD18" s="126">
        <f t="shared" si="56"/>
        <v>3</v>
      </c>
      <c r="DE18" s="64">
        <f>(T18+AL18+BG18+BS18+CT18+DC18)/42</f>
        <v>15.946428571428571</v>
      </c>
      <c r="DF18" s="64">
        <f t="shared" si="57"/>
        <v>79.732142857142861</v>
      </c>
      <c r="DG18" s="64">
        <v>30</v>
      </c>
    </row>
    <row r="19" spans="1:111" ht="17" thickBot="1" x14ac:dyDescent="0.6">
      <c r="A19" s="45">
        <v>12</v>
      </c>
      <c r="B19" s="118" t="s">
        <v>104</v>
      </c>
      <c r="C19" s="119" t="s">
        <v>105</v>
      </c>
      <c r="D19" s="120">
        <v>14.5</v>
      </c>
      <c r="E19" s="79">
        <f t="shared" si="2"/>
        <v>14.5</v>
      </c>
      <c r="F19" s="79">
        <v>1</v>
      </c>
      <c r="G19" s="120">
        <v>13.25</v>
      </c>
      <c r="H19" s="79">
        <f t="shared" si="4"/>
        <v>13.25</v>
      </c>
      <c r="I19" s="79">
        <v>1</v>
      </c>
      <c r="J19" s="120">
        <v>14.5</v>
      </c>
      <c r="K19" s="79">
        <f t="shared" si="6"/>
        <v>14.5</v>
      </c>
      <c r="L19" s="79">
        <v>1</v>
      </c>
      <c r="M19" s="121">
        <v>16</v>
      </c>
      <c r="N19" s="79">
        <f t="shared" si="7"/>
        <v>16</v>
      </c>
      <c r="O19" s="79">
        <v>1</v>
      </c>
      <c r="P19" s="122">
        <v>18</v>
      </c>
      <c r="Q19" s="79">
        <f t="shared" si="8"/>
        <v>18</v>
      </c>
      <c r="R19" s="79">
        <v>1</v>
      </c>
      <c r="S19" s="79">
        <f t="shared" si="0"/>
        <v>15.25</v>
      </c>
      <c r="T19" s="79">
        <f t="shared" si="9"/>
        <v>76.25</v>
      </c>
      <c r="U19" s="79">
        <f t="shared" si="10"/>
        <v>5</v>
      </c>
      <c r="V19" s="123">
        <v>16.5</v>
      </c>
      <c r="W19" s="79">
        <f t="shared" si="11"/>
        <v>33</v>
      </c>
      <c r="X19" s="79">
        <v>1</v>
      </c>
      <c r="Y19" s="122">
        <v>13.5</v>
      </c>
      <c r="Z19" s="79">
        <f t="shared" si="12"/>
        <v>27</v>
      </c>
      <c r="AA19" s="79">
        <v>1</v>
      </c>
      <c r="AB19" s="120">
        <v>13</v>
      </c>
      <c r="AC19" s="79">
        <f t="shared" si="13"/>
        <v>39</v>
      </c>
      <c r="AD19" s="79">
        <v>2</v>
      </c>
      <c r="AE19" s="120">
        <v>17</v>
      </c>
      <c r="AF19" s="79">
        <f t="shared" si="14"/>
        <v>17</v>
      </c>
      <c r="AG19" s="79">
        <v>1</v>
      </c>
      <c r="AH19" s="123">
        <v>8</v>
      </c>
      <c r="AI19" s="79">
        <f t="shared" si="15"/>
        <v>8</v>
      </c>
      <c r="AJ19" s="79">
        <f t="shared" si="16"/>
        <v>0.66666666666666663</v>
      </c>
      <c r="AK19" s="79">
        <f t="shared" si="17"/>
        <v>13.777777777777779</v>
      </c>
      <c r="AL19" s="79">
        <f t="shared" si="18"/>
        <v>124</v>
      </c>
      <c r="AM19" s="79">
        <f t="shared" si="61"/>
        <v>5.666666666666667</v>
      </c>
      <c r="AN19" s="120">
        <v>7</v>
      </c>
      <c r="AO19" s="79">
        <f t="shared" si="19"/>
        <v>7</v>
      </c>
      <c r="AP19" s="79">
        <f t="shared" si="20"/>
        <v>0.58333333333333337</v>
      </c>
      <c r="AQ19" s="123">
        <v>18</v>
      </c>
      <c r="AR19" s="79">
        <f t="shared" si="21"/>
        <v>18</v>
      </c>
      <c r="AS19" s="79">
        <v>1</v>
      </c>
      <c r="AT19" s="127">
        <v>15</v>
      </c>
      <c r="AU19" s="79">
        <f t="shared" si="22"/>
        <v>15</v>
      </c>
      <c r="AV19" s="79">
        <f t="shared" si="62"/>
        <v>1.25</v>
      </c>
      <c r="AW19" s="120">
        <v>12</v>
      </c>
      <c r="AX19" s="79">
        <f t="shared" si="23"/>
        <v>24</v>
      </c>
      <c r="AY19" s="79">
        <f t="shared" si="72"/>
        <v>1</v>
      </c>
      <c r="AZ19" s="123">
        <v>15</v>
      </c>
      <c r="BA19" s="79">
        <f t="shared" si="24"/>
        <v>30</v>
      </c>
      <c r="BB19" s="79">
        <v>1</v>
      </c>
      <c r="BC19" s="120">
        <v>10</v>
      </c>
      <c r="BD19" s="79">
        <f t="shared" si="26"/>
        <v>10</v>
      </c>
      <c r="BE19" s="79">
        <f t="shared" si="74"/>
        <v>0.83333333333333337</v>
      </c>
      <c r="BF19" s="79">
        <f t="shared" si="28"/>
        <v>13</v>
      </c>
      <c r="BG19" s="79">
        <f t="shared" si="29"/>
        <v>104</v>
      </c>
      <c r="BH19" s="79">
        <f t="shared" si="30"/>
        <v>5.666666666666667</v>
      </c>
      <c r="BI19" s="124">
        <v>7</v>
      </c>
      <c r="BJ19" s="79">
        <f t="shared" si="31"/>
        <v>7</v>
      </c>
      <c r="BK19" s="79">
        <f t="shared" si="75"/>
        <v>1.1666666666666667</v>
      </c>
      <c r="BL19" s="123">
        <v>11</v>
      </c>
      <c r="BM19" s="79">
        <f t="shared" si="32"/>
        <v>11</v>
      </c>
      <c r="BN19" s="79">
        <f t="shared" si="86"/>
        <v>0.91666666666666663</v>
      </c>
      <c r="BO19" s="127">
        <v>8</v>
      </c>
      <c r="BP19" s="79">
        <f t="shared" si="33"/>
        <v>8</v>
      </c>
      <c r="BQ19" s="79">
        <f t="shared" si="76"/>
        <v>0.66666666666666663</v>
      </c>
      <c r="BR19" s="79">
        <f t="shared" si="35"/>
        <v>8.6666666666666661</v>
      </c>
      <c r="BS19" s="79">
        <f t="shared" si="36"/>
        <v>26</v>
      </c>
      <c r="BT19" s="79">
        <f t="shared" si="37"/>
        <v>2.75</v>
      </c>
      <c r="BU19" s="121">
        <v>9</v>
      </c>
      <c r="BV19" s="79">
        <f t="shared" si="38"/>
        <v>9</v>
      </c>
      <c r="BW19" s="79">
        <f t="shared" si="77"/>
        <v>0.75</v>
      </c>
      <c r="BX19" s="122">
        <v>13</v>
      </c>
      <c r="BY19" s="79">
        <f t="shared" si="39"/>
        <v>13</v>
      </c>
      <c r="BZ19" s="79">
        <v>1</v>
      </c>
      <c r="CA19" s="120">
        <v>5.5</v>
      </c>
      <c r="CB19" s="79">
        <f t="shared" si="40"/>
        <v>11</v>
      </c>
      <c r="CC19" s="79">
        <f t="shared" si="78"/>
        <v>0.22916666666666666</v>
      </c>
      <c r="CD19" s="120">
        <v>11.75</v>
      </c>
      <c r="CE19" s="79">
        <f t="shared" si="41"/>
        <v>35.25</v>
      </c>
      <c r="CF19" s="79">
        <f t="shared" si="79"/>
        <v>0.48958333333333331</v>
      </c>
      <c r="CG19" s="120">
        <v>10</v>
      </c>
      <c r="CH19" s="79">
        <f t="shared" si="43"/>
        <v>20</v>
      </c>
      <c r="CI19" s="79">
        <f t="shared" si="80"/>
        <v>0.41666666666666669</v>
      </c>
      <c r="CJ19" s="120">
        <v>8</v>
      </c>
      <c r="CK19" s="79">
        <f t="shared" si="44"/>
        <v>24</v>
      </c>
      <c r="CL19" s="79">
        <f t="shared" si="45"/>
        <v>0.33333333333333331</v>
      </c>
      <c r="CM19" s="123">
        <v>11.5</v>
      </c>
      <c r="CN19" s="79">
        <f t="shared" si="46"/>
        <v>11.5</v>
      </c>
      <c r="CO19" s="79">
        <f t="shared" si="88"/>
        <v>0.95833333333333337</v>
      </c>
      <c r="CP19" s="121">
        <v>10</v>
      </c>
      <c r="CQ19" s="79">
        <f t="shared" si="47"/>
        <v>10</v>
      </c>
      <c r="CR19" s="79">
        <f t="shared" si="81"/>
        <v>0.83333333333333337</v>
      </c>
      <c r="CS19" s="79">
        <f t="shared" si="49"/>
        <v>9.5535714285714288</v>
      </c>
      <c r="CT19" s="79">
        <f t="shared" si="50"/>
        <v>133.75</v>
      </c>
      <c r="CU19" s="79">
        <f t="shared" si="51"/>
        <v>5.0104166666666661</v>
      </c>
      <c r="CV19" s="125">
        <v>19</v>
      </c>
      <c r="CW19" s="79">
        <f t="shared" si="52"/>
        <v>19</v>
      </c>
      <c r="CX19" s="79">
        <v>1</v>
      </c>
      <c r="CY19" s="125">
        <v>15.5</v>
      </c>
      <c r="CZ19" s="79">
        <f t="shared" si="53"/>
        <v>31</v>
      </c>
      <c r="DA19" s="79">
        <v>2</v>
      </c>
      <c r="DB19" s="79">
        <f t="shared" si="54"/>
        <v>16.666666666666668</v>
      </c>
      <c r="DC19" s="79">
        <f t="shared" si="55"/>
        <v>50</v>
      </c>
      <c r="DD19" s="126">
        <f t="shared" si="56"/>
        <v>3</v>
      </c>
      <c r="DE19" s="64">
        <f t="shared" ref="DE19:DE37" si="93">(T19+AL19+BG19+BS19+CT19+DC19)/42</f>
        <v>12.238095238095237</v>
      </c>
      <c r="DF19" s="64">
        <f t="shared" si="57"/>
        <v>61.190476190476183</v>
      </c>
      <c r="DG19" s="64">
        <v>30</v>
      </c>
    </row>
    <row r="20" spans="1:111" ht="17" thickBot="1" x14ac:dyDescent="0.6">
      <c r="A20" s="45">
        <v>13</v>
      </c>
      <c r="B20" s="118" t="s">
        <v>106</v>
      </c>
      <c r="C20" s="119" t="s">
        <v>107</v>
      </c>
      <c r="D20" s="120">
        <v>12</v>
      </c>
      <c r="E20" s="79">
        <f t="shared" si="2"/>
        <v>12</v>
      </c>
      <c r="F20" s="79">
        <f t="shared" si="69"/>
        <v>1</v>
      </c>
      <c r="G20" s="120">
        <v>16.75</v>
      </c>
      <c r="H20" s="79">
        <f t="shared" si="4"/>
        <v>16.75</v>
      </c>
      <c r="I20" s="79">
        <v>1</v>
      </c>
      <c r="J20" s="120">
        <v>16</v>
      </c>
      <c r="K20" s="79">
        <f t="shared" si="6"/>
        <v>16</v>
      </c>
      <c r="L20" s="79">
        <v>1</v>
      </c>
      <c r="M20" s="121">
        <v>18.5</v>
      </c>
      <c r="N20" s="79">
        <f t="shared" si="7"/>
        <v>18.5</v>
      </c>
      <c r="O20" s="79">
        <v>1</v>
      </c>
      <c r="P20" s="122">
        <v>17</v>
      </c>
      <c r="Q20" s="79">
        <f t="shared" si="8"/>
        <v>17</v>
      </c>
      <c r="R20" s="79">
        <v>1</v>
      </c>
      <c r="S20" s="79">
        <f t="shared" si="0"/>
        <v>16.05</v>
      </c>
      <c r="T20" s="79">
        <f t="shared" si="9"/>
        <v>80.25</v>
      </c>
      <c r="U20" s="79">
        <f t="shared" si="10"/>
        <v>5</v>
      </c>
      <c r="V20" s="123">
        <v>16</v>
      </c>
      <c r="W20" s="79">
        <f t="shared" si="11"/>
        <v>32</v>
      </c>
      <c r="X20" s="79">
        <v>1</v>
      </c>
      <c r="Y20" s="122">
        <v>13</v>
      </c>
      <c r="Z20" s="79">
        <f t="shared" si="12"/>
        <v>26</v>
      </c>
      <c r="AA20" s="79">
        <v>1</v>
      </c>
      <c r="AB20" s="120">
        <v>12</v>
      </c>
      <c r="AC20" s="79">
        <f t="shared" si="13"/>
        <v>36</v>
      </c>
      <c r="AD20" s="79">
        <v>2</v>
      </c>
      <c r="AE20" s="120">
        <v>11</v>
      </c>
      <c r="AF20" s="79">
        <f t="shared" si="14"/>
        <v>11</v>
      </c>
      <c r="AG20" s="79">
        <f t="shared" si="71"/>
        <v>0.91666666666666663</v>
      </c>
      <c r="AH20" s="128">
        <v>18</v>
      </c>
      <c r="AI20" s="79">
        <f t="shared" si="15"/>
        <v>18</v>
      </c>
      <c r="AJ20" s="79">
        <f t="shared" si="16"/>
        <v>1.5</v>
      </c>
      <c r="AK20" s="79">
        <f t="shared" si="17"/>
        <v>13.666666666666666</v>
      </c>
      <c r="AL20" s="79">
        <f t="shared" si="18"/>
        <v>123</v>
      </c>
      <c r="AM20" s="79">
        <f t="shared" si="61"/>
        <v>6.416666666666667</v>
      </c>
      <c r="AN20" s="120">
        <v>2.5</v>
      </c>
      <c r="AO20" s="79">
        <f t="shared" si="19"/>
        <v>2.5</v>
      </c>
      <c r="AP20" s="79">
        <f t="shared" si="20"/>
        <v>0.20833333333333334</v>
      </c>
      <c r="AQ20" s="123">
        <v>16</v>
      </c>
      <c r="AR20" s="79">
        <f t="shared" si="21"/>
        <v>16</v>
      </c>
      <c r="AS20" s="79">
        <v>1</v>
      </c>
      <c r="AT20" s="120">
        <v>13</v>
      </c>
      <c r="AU20" s="79">
        <f t="shared" si="22"/>
        <v>13</v>
      </c>
      <c r="AV20" s="79">
        <f t="shared" si="62"/>
        <v>1.0833333333333333</v>
      </c>
      <c r="AW20" s="127">
        <v>10</v>
      </c>
      <c r="AX20" s="79">
        <f t="shared" si="23"/>
        <v>20</v>
      </c>
      <c r="AY20" s="79">
        <f t="shared" si="72"/>
        <v>0.83333333333333337</v>
      </c>
      <c r="AZ20" s="123">
        <v>11.5</v>
      </c>
      <c r="BA20" s="79">
        <f t="shared" si="24"/>
        <v>23</v>
      </c>
      <c r="BB20" s="79">
        <f t="shared" si="73"/>
        <v>0.95833333333333337</v>
      </c>
      <c r="BC20" s="120">
        <v>12.5</v>
      </c>
      <c r="BD20" s="79">
        <f t="shared" si="26"/>
        <v>12.5</v>
      </c>
      <c r="BE20" s="79">
        <f t="shared" si="74"/>
        <v>1.0416666666666667</v>
      </c>
      <c r="BF20" s="79">
        <f t="shared" si="28"/>
        <v>10.875</v>
      </c>
      <c r="BG20" s="79">
        <f t="shared" si="29"/>
        <v>87</v>
      </c>
      <c r="BH20" s="79">
        <f t="shared" si="30"/>
        <v>5.125</v>
      </c>
      <c r="BI20" s="124">
        <v>6</v>
      </c>
      <c r="BJ20" s="79">
        <f t="shared" si="31"/>
        <v>6</v>
      </c>
      <c r="BK20" s="79">
        <f t="shared" si="75"/>
        <v>1</v>
      </c>
      <c r="BL20" s="123">
        <v>13</v>
      </c>
      <c r="BM20" s="79">
        <f t="shared" si="32"/>
        <v>13</v>
      </c>
      <c r="BN20" s="79">
        <v>1</v>
      </c>
      <c r="BO20" s="120">
        <v>10</v>
      </c>
      <c r="BP20" s="79">
        <f t="shared" si="33"/>
        <v>10</v>
      </c>
      <c r="BQ20" s="79">
        <f t="shared" si="76"/>
        <v>0.83333333333333337</v>
      </c>
      <c r="BR20" s="79">
        <f t="shared" si="35"/>
        <v>9.6666666666666661</v>
      </c>
      <c r="BS20" s="79">
        <f t="shared" si="36"/>
        <v>29</v>
      </c>
      <c r="BT20" s="79">
        <f t="shared" si="37"/>
        <v>2.8333333333333335</v>
      </c>
      <c r="BU20" s="128">
        <v>19</v>
      </c>
      <c r="BV20" s="79">
        <f t="shared" si="38"/>
        <v>19</v>
      </c>
      <c r="BW20" s="79">
        <f t="shared" si="77"/>
        <v>1.5833333333333333</v>
      </c>
      <c r="BX20" s="122">
        <v>20</v>
      </c>
      <c r="BY20" s="79">
        <f t="shared" si="39"/>
        <v>20</v>
      </c>
      <c r="BZ20" s="79">
        <v>1</v>
      </c>
      <c r="CA20" s="127">
        <v>11</v>
      </c>
      <c r="CB20" s="79">
        <f t="shared" si="40"/>
        <v>22</v>
      </c>
      <c r="CC20" s="79">
        <f t="shared" si="78"/>
        <v>0.45833333333333331</v>
      </c>
      <c r="CD20" s="120">
        <v>11.75</v>
      </c>
      <c r="CE20" s="79">
        <f t="shared" si="41"/>
        <v>35.25</v>
      </c>
      <c r="CF20" s="79">
        <f t="shared" si="79"/>
        <v>0.48958333333333331</v>
      </c>
      <c r="CG20" s="127">
        <v>14.5</v>
      </c>
      <c r="CH20" s="79">
        <f t="shared" si="43"/>
        <v>29</v>
      </c>
      <c r="CI20" s="79">
        <f t="shared" si="80"/>
        <v>0.60416666666666663</v>
      </c>
      <c r="CJ20" s="120">
        <v>3</v>
      </c>
      <c r="CK20" s="79">
        <f t="shared" si="44"/>
        <v>9</v>
      </c>
      <c r="CL20" s="79">
        <f t="shared" si="45"/>
        <v>0.125</v>
      </c>
      <c r="CM20" s="128">
        <v>10</v>
      </c>
      <c r="CN20" s="79">
        <f t="shared" si="46"/>
        <v>10</v>
      </c>
      <c r="CO20" s="79">
        <f t="shared" si="88"/>
        <v>0.83333333333333337</v>
      </c>
      <c r="CP20" s="128">
        <v>8</v>
      </c>
      <c r="CQ20" s="79">
        <f t="shared" si="47"/>
        <v>8</v>
      </c>
      <c r="CR20" s="79">
        <f t="shared" si="81"/>
        <v>0.66666666666666663</v>
      </c>
      <c r="CS20" s="79">
        <f t="shared" si="49"/>
        <v>10.875</v>
      </c>
      <c r="CT20" s="79">
        <f t="shared" si="50"/>
        <v>152.25</v>
      </c>
      <c r="CU20" s="79">
        <f t="shared" si="51"/>
        <v>5.760416666666667</v>
      </c>
      <c r="CV20" s="125">
        <v>18</v>
      </c>
      <c r="CW20" s="79">
        <f t="shared" si="52"/>
        <v>18</v>
      </c>
      <c r="CX20" s="79">
        <v>1</v>
      </c>
      <c r="CY20" s="125">
        <v>15</v>
      </c>
      <c r="CZ20" s="79">
        <f t="shared" si="53"/>
        <v>30</v>
      </c>
      <c r="DA20" s="79">
        <v>2</v>
      </c>
      <c r="DB20" s="79">
        <f t="shared" si="54"/>
        <v>16</v>
      </c>
      <c r="DC20" s="79">
        <f t="shared" si="55"/>
        <v>48</v>
      </c>
      <c r="DD20" s="126">
        <f t="shared" si="56"/>
        <v>3</v>
      </c>
      <c r="DE20" s="64">
        <f t="shared" si="93"/>
        <v>12.369047619047619</v>
      </c>
      <c r="DF20" s="64">
        <f t="shared" si="57"/>
        <v>61.845238095238095</v>
      </c>
      <c r="DG20" s="64">
        <v>30</v>
      </c>
    </row>
    <row r="21" spans="1:111" ht="17" thickBot="1" x14ac:dyDescent="0.6">
      <c r="A21" s="45">
        <v>14</v>
      </c>
      <c r="B21" s="118" t="s">
        <v>108</v>
      </c>
      <c r="C21" s="119" t="s">
        <v>109</v>
      </c>
      <c r="D21" s="127">
        <v>18</v>
      </c>
      <c r="E21" s="79">
        <f t="shared" si="2"/>
        <v>18</v>
      </c>
      <c r="F21" s="79">
        <f t="shared" si="69"/>
        <v>1.5</v>
      </c>
      <c r="G21" s="127">
        <v>17</v>
      </c>
      <c r="H21" s="79">
        <f t="shared" si="4"/>
        <v>17</v>
      </c>
      <c r="I21" s="79">
        <f t="shared" si="83"/>
        <v>1.4166666666666667</v>
      </c>
      <c r="J21" s="120">
        <v>15</v>
      </c>
      <c r="K21" s="79">
        <f t="shared" si="6"/>
        <v>15</v>
      </c>
      <c r="L21" s="79">
        <v>1</v>
      </c>
      <c r="M21" s="121">
        <v>19.5</v>
      </c>
      <c r="N21" s="79">
        <f t="shared" si="7"/>
        <v>19.5</v>
      </c>
      <c r="O21" s="79">
        <v>1</v>
      </c>
      <c r="P21" s="122">
        <v>17</v>
      </c>
      <c r="Q21" s="79">
        <f t="shared" si="8"/>
        <v>17</v>
      </c>
      <c r="R21" s="79">
        <v>1</v>
      </c>
      <c r="S21" s="79">
        <f t="shared" si="0"/>
        <v>17.3</v>
      </c>
      <c r="T21" s="79">
        <f t="shared" si="9"/>
        <v>86.5</v>
      </c>
      <c r="U21" s="79">
        <f t="shared" si="10"/>
        <v>5.916666666666667</v>
      </c>
      <c r="V21" s="123">
        <v>13.5</v>
      </c>
      <c r="W21" s="79">
        <f t="shared" si="11"/>
        <v>27</v>
      </c>
      <c r="X21" s="79">
        <v>1</v>
      </c>
      <c r="Y21" s="122">
        <v>19</v>
      </c>
      <c r="Z21" s="79">
        <f t="shared" si="12"/>
        <v>38</v>
      </c>
      <c r="AA21" s="79">
        <v>1</v>
      </c>
      <c r="AB21" s="120">
        <v>15</v>
      </c>
      <c r="AC21" s="79">
        <f t="shared" si="13"/>
        <v>45</v>
      </c>
      <c r="AD21" s="79">
        <v>2</v>
      </c>
      <c r="AE21" s="120">
        <v>17</v>
      </c>
      <c r="AF21" s="79">
        <f t="shared" si="14"/>
        <v>17</v>
      </c>
      <c r="AG21" s="79">
        <v>1</v>
      </c>
      <c r="AH21" s="123">
        <v>11</v>
      </c>
      <c r="AI21" s="79">
        <f t="shared" si="15"/>
        <v>11</v>
      </c>
      <c r="AJ21" s="79">
        <f t="shared" si="16"/>
        <v>0.91666666666666663</v>
      </c>
      <c r="AK21" s="79">
        <f t="shared" si="17"/>
        <v>15.333333333333334</v>
      </c>
      <c r="AL21" s="79">
        <f t="shared" si="18"/>
        <v>138</v>
      </c>
      <c r="AM21" s="79">
        <f t="shared" si="61"/>
        <v>5.916666666666667</v>
      </c>
      <c r="AN21" s="120">
        <v>5.5</v>
      </c>
      <c r="AO21" s="79">
        <f t="shared" si="19"/>
        <v>5.5</v>
      </c>
      <c r="AP21" s="79">
        <f t="shared" si="20"/>
        <v>0.45833333333333331</v>
      </c>
      <c r="AQ21" s="123">
        <v>10</v>
      </c>
      <c r="AR21" s="79">
        <f t="shared" si="21"/>
        <v>10</v>
      </c>
      <c r="AS21" s="79">
        <f t="shared" si="85"/>
        <v>0.83333333333333337</v>
      </c>
      <c r="AT21" s="120">
        <v>13</v>
      </c>
      <c r="AU21" s="79">
        <f t="shared" si="22"/>
        <v>13</v>
      </c>
      <c r="AV21" s="79">
        <f t="shared" si="62"/>
        <v>1.0833333333333333</v>
      </c>
      <c r="AW21" s="120">
        <v>9</v>
      </c>
      <c r="AX21" s="79">
        <f t="shared" si="23"/>
        <v>18</v>
      </c>
      <c r="AY21" s="79">
        <f t="shared" si="72"/>
        <v>0.75</v>
      </c>
      <c r="AZ21" s="123">
        <v>13.75</v>
      </c>
      <c r="BA21" s="79">
        <f t="shared" si="24"/>
        <v>27.5</v>
      </c>
      <c r="BB21" s="79">
        <v>1</v>
      </c>
      <c r="BC21" s="127">
        <v>7</v>
      </c>
      <c r="BD21" s="79">
        <f t="shared" si="26"/>
        <v>7</v>
      </c>
      <c r="BE21" s="79">
        <f t="shared" si="74"/>
        <v>0.58333333333333337</v>
      </c>
      <c r="BF21" s="79">
        <f t="shared" si="28"/>
        <v>10.125</v>
      </c>
      <c r="BG21" s="79">
        <f t="shared" si="29"/>
        <v>81</v>
      </c>
      <c r="BH21" s="79">
        <f t="shared" si="30"/>
        <v>4.708333333333333</v>
      </c>
      <c r="BI21" s="124">
        <v>14</v>
      </c>
      <c r="BJ21" s="79">
        <f t="shared" si="31"/>
        <v>14</v>
      </c>
      <c r="BK21" s="79">
        <v>2</v>
      </c>
      <c r="BL21" s="123">
        <v>8</v>
      </c>
      <c r="BM21" s="79">
        <f t="shared" si="32"/>
        <v>8</v>
      </c>
      <c r="BN21" s="79">
        <f t="shared" si="86"/>
        <v>0.66666666666666663</v>
      </c>
      <c r="BO21" s="120">
        <v>13</v>
      </c>
      <c r="BP21" s="79">
        <f t="shared" si="33"/>
        <v>13</v>
      </c>
      <c r="BQ21" s="79">
        <f t="shared" si="76"/>
        <v>1.0833333333333333</v>
      </c>
      <c r="BR21" s="79">
        <f t="shared" si="35"/>
        <v>11.666666666666666</v>
      </c>
      <c r="BS21" s="79">
        <f t="shared" si="36"/>
        <v>35</v>
      </c>
      <c r="BT21" s="79">
        <f t="shared" si="37"/>
        <v>3.75</v>
      </c>
      <c r="BU21" s="121">
        <v>18</v>
      </c>
      <c r="BV21" s="79">
        <f t="shared" si="38"/>
        <v>18</v>
      </c>
      <c r="BW21" s="79">
        <f t="shared" si="77"/>
        <v>1.5</v>
      </c>
      <c r="BX21" s="122">
        <v>16</v>
      </c>
      <c r="BY21" s="79">
        <f t="shared" si="39"/>
        <v>16</v>
      </c>
      <c r="BZ21" s="79">
        <v>1</v>
      </c>
      <c r="CA21" s="127">
        <v>12</v>
      </c>
      <c r="CB21" s="79">
        <f t="shared" si="40"/>
        <v>24</v>
      </c>
      <c r="CC21" s="79">
        <f t="shared" si="78"/>
        <v>0.5</v>
      </c>
      <c r="CD21" s="120">
        <v>12.5</v>
      </c>
      <c r="CE21" s="79">
        <f t="shared" si="41"/>
        <v>37.5</v>
      </c>
      <c r="CF21" s="79">
        <f t="shared" si="79"/>
        <v>0.52083333333333337</v>
      </c>
      <c r="CG21" s="120">
        <v>12</v>
      </c>
      <c r="CH21" s="79">
        <f t="shared" si="43"/>
        <v>24</v>
      </c>
      <c r="CI21" s="79">
        <f t="shared" si="80"/>
        <v>0.5</v>
      </c>
      <c r="CJ21" s="120">
        <v>7</v>
      </c>
      <c r="CK21" s="79">
        <f t="shared" si="44"/>
        <v>21</v>
      </c>
      <c r="CL21" s="79">
        <f t="shared" si="45"/>
        <v>0.29166666666666669</v>
      </c>
      <c r="CM21" s="123">
        <v>16</v>
      </c>
      <c r="CN21" s="79">
        <f t="shared" si="46"/>
        <v>16</v>
      </c>
      <c r="CO21" s="79">
        <f t="shared" si="88"/>
        <v>1.3333333333333333</v>
      </c>
      <c r="CP21" s="121">
        <v>15.5</v>
      </c>
      <c r="CQ21" s="79">
        <f t="shared" si="47"/>
        <v>15.5</v>
      </c>
      <c r="CR21" s="79">
        <v>1</v>
      </c>
      <c r="CS21" s="79">
        <f t="shared" si="49"/>
        <v>12.285714285714286</v>
      </c>
      <c r="CT21" s="79">
        <f t="shared" si="50"/>
        <v>172</v>
      </c>
      <c r="CU21" s="79">
        <f t="shared" si="51"/>
        <v>6.6458333333333339</v>
      </c>
      <c r="CV21" s="130">
        <v>12</v>
      </c>
      <c r="CW21" s="79">
        <f t="shared" si="52"/>
        <v>12</v>
      </c>
      <c r="CX21" s="79">
        <f t="shared" si="92"/>
        <v>1</v>
      </c>
      <c r="CY21" s="129">
        <v>14</v>
      </c>
      <c r="CZ21" s="79">
        <f t="shared" si="53"/>
        <v>28</v>
      </c>
      <c r="DA21" s="79">
        <f t="shared" si="87"/>
        <v>2.3333333333333335</v>
      </c>
      <c r="DB21" s="79">
        <f t="shared" si="54"/>
        <v>13.333333333333334</v>
      </c>
      <c r="DC21" s="79">
        <f t="shared" si="55"/>
        <v>40</v>
      </c>
      <c r="DD21" s="126">
        <f t="shared" si="56"/>
        <v>3.3333333333333335</v>
      </c>
      <c r="DE21" s="64">
        <f t="shared" si="93"/>
        <v>13.154761904761905</v>
      </c>
      <c r="DF21" s="64">
        <f t="shared" si="57"/>
        <v>65.773809523809533</v>
      </c>
      <c r="DG21" s="64">
        <v>30</v>
      </c>
    </row>
    <row r="22" spans="1:111" ht="17" thickBot="1" x14ac:dyDescent="0.6">
      <c r="A22" s="45">
        <v>15</v>
      </c>
      <c r="B22" s="118" t="s">
        <v>110</v>
      </c>
      <c r="C22" s="119" t="s">
        <v>111</v>
      </c>
      <c r="D22" s="120">
        <v>18</v>
      </c>
      <c r="E22" s="79">
        <f t="shared" si="2"/>
        <v>18</v>
      </c>
      <c r="F22" s="79">
        <v>1</v>
      </c>
      <c r="G22" s="120">
        <v>19.5</v>
      </c>
      <c r="H22" s="79">
        <f t="shared" si="4"/>
        <v>19.5</v>
      </c>
      <c r="I22" s="79">
        <v>1</v>
      </c>
      <c r="J22" s="120">
        <v>12.5</v>
      </c>
      <c r="K22" s="79">
        <f t="shared" si="6"/>
        <v>12.5</v>
      </c>
      <c r="L22" s="79">
        <f t="shared" si="70"/>
        <v>1.0416666666666667</v>
      </c>
      <c r="M22" s="121">
        <v>19.5</v>
      </c>
      <c r="N22" s="79">
        <f t="shared" si="7"/>
        <v>19.5</v>
      </c>
      <c r="O22" s="79">
        <v>1</v>
      </c>
      <c r="P22" s="122">
        <v>18</v>
      </c>
      <c r="Q22" s="79">
        <f t="shared" si="8"/>
        <v>18</v>
      </c>
      <c r="R22" s="79">
        <v>1</v>
      </c>
      <c r="S22" s="79">
        <f t="shared" si="0"/>
        <v>17.5</v>
      </c>
      <c r="T22" s="79">
        <f t="shared" si="9"/>
        <v>87.5</v>
      </c>
      <c r="U22" s="79">
        <f t="shared" si="10"/>
        <v>5.041666666666667</v>
      </c>
      <c r="V22" s="123">
        <v>19</v>
      </c>
      <c r="W22" s="79">
        <f t="shared" si="11"/>
        <v>38</v>
      </c>
      <c r="X22" s="79">
        <v>1</v>
      </c>
      <c r="Y22" s="122">
        <v>19</v>
      </c>
      <c r="Z22" s="79">
        <f t="shared" si="12"/>
        <v>38</v>
      </c>
      <c r="AA22" s="79">
        <v>1</v>
      </c>
      <c r="AB22" s="120">
        <v>17</v>
      </c>
      <c r="AC22" s="79">
        <f t="shared" si="13"/>
        <v>51</v>
      </c>
      <c r="AD22" s="79">
        <v>2</v>
      </c>
      <c r="AE22" s="120">
        <v>19</v>
      </c>
      <c r="AF22" s="79">
        <f t="shared" si="14"/>
        <v>19</v>
      </c>
      <c r="AG22" s="79">
        <v>1</v>
      </c>
      <c r="AH22" s="123">
        <v>16</v>
      </c>
      <c r="AI22" s="79">
        <f t="shared" si="15"/>
        <v>16</v>
      </c>
      <c r="AJ22" s="79">
        <v>1</v>
      </c>
      <c r="AK22" s="79">
        <f t="shared" si="17"/>
        <v>18</v>
      </c>
      <c r="AL22" s="79">
        <f t="shared" si="18"/>
        <v>162</v>
      </c>
      <c r="AM22" s="79">
        <f t="shared" si="61"/>
        <v>6</v>
      </c>
      <c r="AN22" s="120">
        <v>9</v>
      </c>
      <c r="AO22" s="79">
        <f t="shared" si="19"/>
        <v>9</v>
      </c>
      <c r="AP22" s="79">
        <f t="shared" si="20"/>
        <v>0.75</v>
      </c>
      <c r="AQ22" s="123">
        <v>20</v>
      </c>
      <c r="AR22" s="79">
        <f t="shared" si="21"/>
        <v>20</v>
      </c>
      <c r="AS22" s="79">
        <v>1</v>
      </c>
      <c r="AT22" s="120">
        <v>15</v>
      </c>
      <c r="AU22" s="79">
        <f t="shared" si="22"/>
        <v>15</v>
      </c>
      <c r="AV22" s="79">
        <v>1</v>
      </c>
      <c r="AW22" s="120">
        <v>13.5</v>
      </c>
      <c r="AX22" s="79">
        <f t="shared" si="23"/>
        <v>27</v>
      </c>
      <c r="AY22" s="79">
        <v>1</v>
      </c>
      <c r="AZ22" s="123">
        <v>18.75</v>
      </c>
      <c r="BA22" s="79">
        <f t="shared" si="24"/>
        <v>37.5</v>
      </c>
      <c r="BB22" s="79">
        <v>1</v>
      </c>
      <c r="BC22" s="120">
        <v>13</v>
      </c>
      <c r="BD22" s="79">
        <f t="shared" si="26"/>
        <v>13</v>
      </c>
      <c r="BE22" s="79">
        <v>1</v>
      </c>
      <c r="BF22" s="79">
        <f t="shared" si="28"/>
        <v>15.1875</v>
      </c>
      <c r="BG22" s="79">
        <f t="shared" si="29"/>
        <v>121.5</v>
      </c>
      <c r="BH22" s="79">
        <f t="shared" si="30"/>
        <v>5.75</v>
      </c>
      <c r="BI22" s="124">
        <v>16</v>
      </c>
      <c r="BJ22" s="79">
        <f t="shared" si="31"/>
        <v>16</v>
      </c>
      <c r="BK22" s="79">
        <v>2</v>
      </c>
      <c r="BL22" s="123">
        <v>14</v>
      </c>
      <c r="BM22" s="79">
        <f t="shared" si="32"/>
        <v>14</v>
      </c>
      <c r="BN22" s="79">
        <v>1</v>
      </c>
      <c r="BO22" s="120">
        <v>7</v>
      </c>
      <c r="BP22" s="79">
        <f t="shared" si="33"/>
        <v>7</v>
      </c>
      <c r="BQ22" s="79">
        <f t="shared" si="76"/>
        <v>0.58333333333333337</v>
      </c>
      <c r="BR22" s="79">
        <f t="shared" si="35"/>
        <v>12.333333333333334</v>
      </c>
      <c r="BS22" s="79">
        <f t="shared" si="36"/>
        <v>37</v>
      </c>
      <c r="BT22" s="79">
        <f t="shared" si="37"/>
        <v>3.5833333333333335</v>
      </c>
      <c r="BU22" s="121">
        <v>16</v>
      </c>
      <c r="BV22" s="79">
        <f t="shared" si="38"/>
        <v>16</v>
      </c>
      <c r="BW22" s="79">
        <v>1</v>
      </c>
      <c r="BX22" s="122">
        <v>20</v>
      </c>
      <c r="BY22" s="79">
        <f t="shared" si="39"/>
        <v>20</v>
      </c>
      <c r="BZ22" s="79">
        <v>1</v>
      </c>
      <c r="CA22" s="120">
        <v>13.5</v>
      </c>
      <c r="CB22" s="79">
        <f t="shared" si="40"/>
        <v>27</v>
      </c>
      <c r="CC22" s="79">
        <v>0.5</v>
      </c>
      <c r="CD22" s="120">
        <v>14.75</v>
      </c>
      <c r="CE22" s="79">
        <f t="shared" si="41"/>
        <v>44.25</v>
      </c>
      <c r="CF22" s="79">
        <v>0.5</v>
      </c>
      <c r="CG22" s="120">
        <v>17</v>
      </c>
      <c r="CH22" s="79">
        <f t="shared" si="43"/>
        <v>34</v>
      </c>
      <c r="CI22" s="79">
        <v>0.5</v>
      </c>
      <c r="CJ22" s="120">
        <v>12</v>
      </c>
      <c r="CK22" s="79">
        <f t="shared" si="44"/>
        <v>36</v>
      </c>
      <c r="CL22" s="79">
        <f t="shared" si="45"/>
        <v>0.5</v>
      </c>
      <c r="CM22" s="123">
        <v>18</v>
      </c>
      <c r="CN22" s="79">
        <f t="shared" si="46"/>
        <v>18</v>
      </c>
      <c r="CO22" s="79">
        <v>1</v>
      </c>
      <c r="CP22" s="121">
        <v>12</v>
      </c>
      <c r="CQ22" s="79">
        <f t="shared" si="47"/>
        <v>12</v>
      </c>
      <c r="CR22" s="79">
        <f t="shared" si="81"/>
        <v>1</v>
      </c>
      <c r="CS22" s="79">
        <f t="shared" si="49"/>
        <v>14.803571428571429</v>
      </c>
      <c r="CT22" s="79">
        <f t="shared" si="50"/>
        <v>207.25</v>
      </c>
      <c r="CU22" s="79">
        <f t="shared" si="51"/>
        <v>6</v>
      </c>
      <c r="CV22" s="125">
        <v>18</v>
      </c>
      <c r="CW22" s="79">
        <f t="shared" si="52"/>
        <v>18</v>
      </c>
      <c r="CX22" s="79">
        <v>1</v>
      </c>
      <c r="CY22" s="125">
        <v>18.5</v>
      </c>
      <c r="CZ22" s="79">
        <f t="shared" si="53"/>
        <v>37</v>
      </c>
      <c r="DA22" s="79">
        <v>2</v>
      </c>
      <c r="DB22" s="79">
        <f t="shared" si="54"/>
        <v>18.333333333333332</v>
      </c>
      <c r="DC22" s="79">
        <f t="shared" si="55"/>
        <v>55</v>
      </c>
      <c r="DD22" s="126">
        <f t="shared" si="56"/>
        <v>3</v>
      </c>
      <c r="DE22" s="64">
        <f t="shared" si="93"/>
        <v>15.958333333333334</v>
      </c>
      <c r="DF22" s="64">
        <f t="shared" si="57"/>
        <v>79.791666666666671</v>
      </c>
      <c r="DG22" s="64">
        <v>30</v>
      </c>
    </row>
    <row r="23" spans="1:111" ht="17" thickBot="1" x14ac:dyDescent="0.6">
      <c r="A23" s="45">
        <v>16</v>
      </c>
      <c r="B23" s="118" t="s">
        <v>108</v>
      </c>
      <c r="C23" s="119" t="s">
        <v>112</v>
      </c>
      <c r="D23" s="127">
        <v>17</v>
      </c>
      <c r="E23" s="79">
        <f t="shared" si="2"/>
        <v>17</v>
      </c>
      <c r="F23" s="79">
        <f t="shared" si="69"/>
        <v>1.4166666666666667</v>
      </c>
      <c r="G23" s="120">
        <v>14.75</v>
      </c>
      <c r="H23" s="79">
        <f t="shared" si="4"/>
        <v>14.75</v>
      </c>
      <c r="I23" s="79">
        <v>1</v>
      </c>
      <c r="J23" s="120">
        <v>10</v>
      </c>
      <c r="K23" s="79">
        <f t="shared" si="6"/>
        <v>10</v>
      </c>
      <c r="L23" s="79">
        <f t="shared" si="70"/>
        <v>0.83333333333333337</v>
      </c>
      <c r="M23" s="121">
        <v>18</v>
      </c>
      <c r="N23" s="79">
        <f t="shared" si="7"/>
        <v>18</v>
      </c>
      <c r="O23" s="79">
        <v>1</v>
      </c>
      <c r="P23" s="122">
        <v>16</v>
      </c>
      <c r="Q23" s="79">
        <f t="shared" si="8"/>
        <v>16</v>
      </c>
      <c r="R23" s="79">
        <v>1</v>
      </c>
      <c r="S23" s="79">
        <f t="shared" si="0"/>
        <v>15.15</v>
      </c>
      <c r="T23" s="79">
        <f t="shared" si="9"/>
        <v>75.75</v>
      </c>
      <c r="U23" s="79">
        <f t="shared" si="10"/>
        <v>5.25</v>
      </c>
      <c r="V23" s="128">
        <v>15</v>
      </c>
      <c r="W23" s="79">
        <f t="shared" si="11"/>
        <v>30</v>
      </c>
      <c r="X23" s="79">
        <f t="shared" si="89"/>
        <v>1.25</v>
      </c>
      <c r="Y23" s="122">
        <v>16</v>
      </c>
      <c r="Z23" s="79">
        <f t="shared" si="12"/>
        <v>32</v>
      </c>
      <c r="AA23" s="79">
        <v>1</v>
      </c>
      <c r="AB23" s="120">
        <v>6</v>
      </c>
      <c r="AC23" s="79">
        <f t="shared" si="13"/>
        <v>18</v>
      </c>
      <c r="AD23" s="79">
        <f t="shared" ref="AD23:AD37" si="94">(AB23*2)/12</f>
        <v>1</v>
      </c>
      <c r="AE23" s="120">
        <v>19</v>
      </c>
      <c r="AF23" s="79">
        <f t="shared" si="14"/>
        <v>19</v>
      </c>
      <c r="AG23" s="79">
        <v>1</v>
      </c>
      <c r="AH23" s="128">
        <v>14.5</v>
      </c>
      <c r="AI23" s="79">
        <f t="shared" si="15"/>
        <v>14.5</v>
      </c>
      <c r="AJ23" s="79">
        <f t="shared" si="16"/>
        <v>1.2083333333333333</v>
      </c>
      <c r="AK23" s="79">
        <f t="shared" si="17"/>
        <v>12.611111111111111</v>
      </c>
      <c r="AL23" s="79">
        <f t="shared" si="18"/>
        <v>113.5</v>
      </c>
      <c r="AM23" s="79">
        <f t="shared" si="61"/>
        <v>5.458333333333333</v>
      </c>
      <c r="AN23" s="127">
        <v>6</v>
      </c>
      <c r="AO23" s="79">
        <f t="shared" si="19"/>
        <v>6</v>
      </c>
      <c r="AP23" s="79">
        <f t="shared" si="20"/>
        <v>0.5</v>
      </c>
      <c r="AQ23" s="128">
        <v>16</v>
      </c>
      <c r="AR23" s="79">
        <f t="shared" si="21"/>
        <v>16</v>
      </c>
      <c r="AS23" s="79">
        <f t="shared" si="85"/>
        <v>1.3333333333333333</v>
      </c>
      <c r="AT23" s="127">
        <v>6</v>
      </c>
      <c r="AU23" s="79">
        <f t="shared" si="22"/>
        <v>6</v>
      </c>
      <c r="AV23" s="79">
        <f t="shared" si="62"/>
        <v>0.5</v>
      </c>
      <c r="AW23" s="120">
        <v>11.5</v>
      </c>
      <c r="AX23" s="79">
        <f t="shared" si="23"/>
        <v>23</v>
      </c>
      <c r="AY23" s="79">
        <f t="shared" si="72"/>
        <v>0.95833333333333337</v>
      </c>
      <c r="AZ23" s="123">
        <v>13.25</v>
      </c>
      <c r="BA23" s="79">
        <f t="shared" si="24"/>
        <v>26.5</v>
      </c>
      <c r="BB23" s="79">
        <v>1</v>
      </c>
      <c r="BC23" s="127">
        <v>12.5</v>
      </c>
      <c r="BD23" s="79">
        <f t="shared" si="26"/>
        <v>12.5</v>
      </c>
      <c r="BE23" s="79">
        <f t="shared" si="74"/>
        <v>1.0416666666666667</v>
      </c>
      <c r="BF23" s="79">
        <f t="shared" si="28"/>
        <v>11.25</v>
      </c>
      <c r="BG23" s="79">
        <f t="shared" si="29"/>
        <v>90</v>
      </c>
      <c r="BH23" s="79">
        <f t="shared" si="30"/>
        <v>5.333333333333333</v>
      </c>
      <c r="BI23" s="124">
        <v>4</v>
      </c>
      <c r="BJ23" s="79">
        <f t="shared" si="31"/>
        <v>4</v>
      </c>
      <c r="BK23" s="79">
        <f t="shared" si="75"/>
        <v>0.66666666666666663</v>
      </c>
      <c r="BL23" s="123">
        <v>9</v>
      </c>
      <c r="BM23" s="79">
        <f t="shared" si="32"/>
        <v>9</v>
      </c>
      <c r="BN23" s="79">
        <f t="shared" si="86"/>
        <v>0.75</v>
      </c>
      <c r="BO23" s="127">
        <v>9</v>
      </c>
      <c r="BP23" s="79">
        <f t="shared" si="33"/>
        <v>9</v>
      </c>
      <c r="BQ23" s="79">
        <f t="shared" si="76"/>
        <v>0.75</v>
      </c>
      <c r="BR23" s="79">
        <f t="shared" si="35"/>
        <v>7.333333333333333</v>
      </c>
      <c r="BS23" s="79">
        <f t="shared" si="36"/>
        <v>22</v>
      </c>
      <c r="BT23" s="79">
        <f t="shared" si="37"/>
        <v>2.1666666666666665</v>
      </c>
      <c r="BU23" s="121">
        <v>16</v>
      </c>
      <c r="BV23" s="79">
        <f t="shared" si="38"/>
        <v>16</v>
      </c>
      <c r="BW23" s="79">
        <v>1</v>
      </c>
      <c r="BX23" s="122">
        <v>18</v>
      </c>
      <c r="BY23" s="79">
        <f t="shared" si="39"/>
        <v>18</v>
      </c>
      <c r="BZ23" s="79">
        <v>1</v>
      </c>
      <c r="CA23" s="127">
        <v>10</v>
      </c>
      <c r="CB23" s="79">
        <f t="shared" si="40"/>
        <v>20</v>
      </c>
      <c r="CC23" s="79">
        <f t="shared" si="78"/>
        <v>0.41666666666666669</v>
      </c>
      <c r="CD23" s="120">
        <v>8</v>
      </c>
      <c r="CE23" s="79">
        <f t="shared" si="41"/>
        <v>24</v>
      </c>
      <c r="CF23" s="79">
        <f t="shared" si="79"/>
        <v>0.33333333333333331</v>
      </c>
      <c r="CG23" s="127">
        <v>12</v>
      </c>
      <c r="CH23" s="79">
        <f t="shared" si="43"/>
        <v>24</v>
      </c>
      <c r="CI23" s="79">
        <f t="shared" si="80"/>
        <v>0.5</v>
      </c>
      <c r="CJ23" s="120">
        <v>7</v>
      </c>
      <c r="CK23" s="79">
        <f t="shared" si="44"/>
        <v>21</v>
      </c>
      <c r="CL23" s="79">
        <f t="shared" si="45"/>
        <v>0.29166666666666669</v>
      </c>
      <c r="CM23" s="123">
        <v>13</v>
      </c>
      <c r="CN23" s="79">
        <f t="shared" si="46"/>
        <v>13</v>
      </c>
      <c r="CO23" s="79">
        <v>1</v>
      </c>
      <c r="CP23" s="121">
        <v>10.5</v>
      </c>
      <c r="CQ23" s="79">
        <f t="shared" si="47"/>
        <v>10.5</v>
      </c>
      <c r="CR23" s="79">
        <f t="shared" si="81"/>
        <v>0.875</v>
      </c>
      <c r="CS23" s="79">
        <f t="shared" si="49"/>
        <v>10.464285714285714</v>
      </c>
      <c r="CT23" s="79">
        <f t="shared" si="50"/>
        <v>146.5</v>
      </c>
      <c r="CU23" s="79">
        <f t="shared" si="51"/>
        <v>5.4166666666666661</v>
      </c>
      <c r="CV23" s="129">
        <v>12</v>
      </c>
      <c r="CW23" s="79">
        <f t="shared" si="52"/>
        <v>12</v>
      </c>
      <c r="CX23" s="79">
        <f t="shared" si="92"/>
        <v>1</v>
      </c>
      <c r="CY23" s="125">
        <v>15</v>
      </c>
      <c r="CZ23" s="79">
        <f t="shared" si="53"/>
        <v>30</v>
      </c>
      <c r="DA23" s="79">
        <v>2</v>
      </c>
      <c r="DB23" s="79">
        <f t="shared" si="54"/>
        <v>14</v>
      </c>
      <c r="DC23" s="79">
        <f t="shared" si="55"/>
        <v>42</v>
      </c>
      <c r="DD23" s="126">
        <f t="shared" si="56"/>
        <v>3</v>
      </c>
      <c r="DE23" s="64">
        <f t="shared" si="93"/>
        <v>11.660714285714286</v>
      </c>
      <c r="DF23" s="64">
        <f t="shared" si="57"/>
        <v>58.303571428571431</v>
      </c>
      <c r="DG23" s="64">
        <f t="shared" si="82"/>
        <v>26.625</v>
      </c>
    </row>
    <row r="24" spans="1:111" ht="17" thickBot="1" x14ac:dyDescent="0.6">
      <c r="A24" s="45">
        <v>17</v>
      </c>
      <c r="B24" s="118" t="s">
        <v>113</v>
      </c>
      <c r="C24" s="119" t="s">
        <v>114</v>
      </c>
      <c r="D24" s="120">
        <v>12</v>
      </c>
      <c r="E24" s="79">
        <f t="shared" si="2"/>
        <v>12</v>
      </c>
      <c r="F24" s="79">
        <f t="shared" si="69"/>
        <v>1</v>
      </c>
      <c r="G24" s="120">
        <v>16.75</v>
      </c>
      <c r="H24" s="79">
        <f t="shared" si="4"/>
        <v>16.75</v>
      </c>
      <c r="I24" s="79">
        <v>1</v>
      </c>
      <c r="J24" s="120">
        <v>11</v>
      </c>
      <c r="K24" s="79">
        <f t="shared" si="6"/>
        <v>11</v>
      </c>
      <c r="L24" s="79">
        <f t="shared" si="70"/>
        <v>0.91666666666666663</v>
      </c>
      <c r="M24" s="121">
        <v>19.5</v>
      </c>
      <c r="N24" s="79">
        <f t="shared" si="7"/>
        <v>19.5</v>
      </c>
      <c r="O24" s="79">
        <v>1</v>
      </c>
      <c r="P24" s="122">
        <v>17</v>
      </c>
      <c r="Q24" s="79">
        <f t="shared" si="8"/>
        <v>17</v>
      </c>
      <c r="R24" s="79">
        <v>1</v>
      </c>
      <c r="S24" s="79">
        <f t="shared" si="0"/>
        <v>15.25</v>
      </c>
      <c r="T24" s="79">
        <f t="shared" si="9"/>
        <v>76.25</v>
      </c>
      <c r="U24" s="79">
        <f t="shared" si="10"/>
        <v>4.9166666666666661</v>
      </c>
      <c r="V24" s="123">
        <v>16.5</v>
      </c>
      <c r="W24" s="79">
        <f t="shared" si="11"/>
        <v>33</v>
      </c>
      <c r="X24" s="79">
        <v>1</v>
      </c>
      <c r="Y24" s="122">
        <v>18</v>
      </c>
      <c r="Z24" s="79">
        <f t="shared" si="12"/>
        <v>36</v>
      </c>
      <c r="AA24" s="79">
        <v>1</v>
      </c>
      <c r="AB24" s="120">
        <v>15</v>
      </c>
      <c r="AC24" s="79">
        <f t="shared" si="13"/>
        <v>45</v>
      </c>
      <c r="AD24" s="79">
        <v>2</v>
      </c>
      <c r="AE24" s="120">
        <v>20</v>
      </c>
      <c r="AF24" s="79">
        <f t="shared" si="14"/>
        <v>20</v>
      </c>
      <c r="AG24" s="79">
        <v>1</v>
      </c>
      <c r="AH24" s="123">
        <v>10.5</v>
      </c>
      <c r="AI24" s="79">
        <f t="shared" si="15"/>
        <v>10.5</v>
      </c>
      <c r="AJ24" s="79">
        <f t="shared" si="16"/>
        <v>0.875</v>
      </c>
      <c r="AK24" s="79">
        <f t="shared" si="17"/>
        <v>16.055555555555557</v>
      </c>
      <c r="AL24" s="79">
        <f t="shared" si="18"/>
        <v>144.5</v>
      </c>
      <c r="AM24" s="79">
        <f t="shared" si="61"/>
        <v>5.875</v>
      </c>
      <c r="AN24" s="120">
        <v>7.5</v>
      </c>
      <c r="AO24" s="79">
        <f t="shared" si="19"/>
        <v>7.5</v>
      </c>
      <c r="AP24" s="79">
        <f t="shared" si="20"/>
        <v>0.625</v>
      </c>
      <c r="AQ24" s="123">
        <v>15</v>
      </c>
      <c r="AR24" s="79">
        <f t="shared" si="21"/>
        <v>15</v>
      </c>
      <c r="AS24" s="79">
        <v>1</v>
      </c>
      <c r="AT24" s="120">
        <v>10</v>
      </c>
      <c r="AU24" s="79">
        <f t="shared" si="22"/>
        <v>10</v>
      </c>
      <c r="AV24" s="79">
        <f t="shared" si="62"/>
        <v>0.83333333333333337</v>
      </c>
      <c r="AW24" s="120">
        <v>14.5</v>
      </c>
      <c r="AX24" s="79">
        <f t="shared" si="23"/>
        <v>29</v>
      </c>
      <c r="AY24" s="79">
        <v>1</v>
      </c>
      <c r="AZ24" s="123">
        <v>10.75</v>
      </c>
      <c r="BA24" s="79">
        <f t="shared" si="24"/>
        <v>21.5</v>
      </c>
      <c r="BB24" s="79">
        <f t="shared" si="73"/>
        <v>0.89583333333333337</v>
      </c>
      <c r="BC24" s="120">
        <v>10</v>
      </c>
      <c r="BD24" s="79">
        <f t="shared" si="26"/>
        <v>10</v>
      </c>
      <c r="BE24" s="79">
        <f t="shared" si="74"/>
        <v>0.83333333333333337</v>
      </c>
      <c r="BF24" s="79">
        <f t="shared" si="28"/>
        <v>11.625</v>
      </c>
      <c r="BG24" s="79">
        <f t="shared" si="29"/>
        <v>93</v>
      </c>
      <c r="BH24" s="79">
        <f t="shared" si="30"/>
        <v>5.1875</v>
      </c>
      <c r="BI24" s="124">
        <v>15</v>
      </c>
      <c r="BJ24" s="79">
        <f t="shared" si="31"/>
        <v>15</v>
      </c>
      <c r="BK24" s="79">
        <v>2</v>
      </c>
      <c r="BL24" s="123">
        <v>19</v>
      </c>
      <c r="BM24" s="79">
        <f t="shared" si="32"/>
        <v>19</v>
      </c>
      <c r="BN24" s="79">
        <v>1</v>
      </c>
      <c r="BO24" s="120">
        <v>7</v>
      </c>
      <c r="BP24" s="79">
        <f t="shared" si="33"/>
        <v>7</v>
      </c>
      <c r="BQ24" s="79">
        <f t="shared" si="76"/>
        <v>0.58333333333333337</v>
      </c>
      <c r="BR24" s="79">
        <f t="shared" si="35"/>
        <v>13.666666666666666</v>
      </c>
      <c r="BS24" s="79">
        <f t="shared" si="36"/>
        <v>41</v>
      </c>
      <c r="BT24" s="79">
        <f t="shared" si="37"/>
        <v>3.5833333333333335</v>
      </c>
      <c r="BU24" s="121">
        <v>14.5</v>
      </c>
      <c r="BV24" s="79">
        <f t="shared" si="38"/>
        <v>14.5</v>
      </c>
      <c r="BW24" s="79">
        <v>1</v>
      </c>
      <c r="BX24" s="122">
        <v>14</v>
      </c>
      <c r="BY24" s="79">
        <f t="shared" si="39"/>
        <v>14</v>
      </c>
      <c r="BZ24" s="79">
        <v>1</v>
      </c>
      <c r="CA24" s="120">
        <v>15</v>
      </c>
      <c r="CB24" s="79">
        <f t="shared" si="40"/>
        <v>30</v>
      </c>
      <c r="CC24" s="79">
        <v>0.5</v>
      </c>
      <c r="CD24" s="120">
        <v>15</v>
      </c>
      <c r="CE24" s="79">
        <f t="shared" si="41"/>
        <v>45</v>
      </c>
      <c r="CF24" s="79">
        <v>0.5</v>
      </c>
      <c r="CG24" s="120">
        <v>4.5</v>
      </c>
      <c r="CH24" s="79">
        <f t="shared" si="43"/>
        <v>9</v>
      </c>
      <c r="CI24" s="79">
        <f t="shared" si="80"/>
        <v>0.1875</v>
      </c>
      <c r="CJ24" s="120">
        <v>7</v>
      </c>
      <c r="CK24" s="79">
        <f t="shared" si="44"/>
        <v>21</v>
      </c>
      <c r="CL24" s="79">
        <f t="shared" si="45"/>
        <v>0.29166666666666669</v>
      </c>
      <c r="CM24" s="123">
        <v>13</v>
      </c>
      <c r="CN24" s="79">
        <f t="shared" si="46"/>
        <v>13</v>
      </c>
      <c r="CO24" s="79">
        <v>1</v>
      </c>
      <c r="CP24" s="121">
        <v>13</v>
      </c>
      <c r="CQ24" s="79">
        <f t="shared" si="47"/>
        <v>13</v>
      </c>
      <c r="CR24" s="79">
        <v>1</v>
      </c>
      <c r="CS24" s="79">
        <f t="shared" si="49"/>
        <v>11.392857142857142</v>
      </c>
      <c r="CT24" s="79">
        <f t="shared" si="50"/>
        <v>159.5</v>
      </c>
      <c r="CU24" s="79">
        <f t="shared" si="51"/>
        <v>5.4791666666666661</v>
      </c>
      <c r="CV24" s="125">
        <v>15</v>
      </c>
      <c r="CW24" s="79">
        <f t="shared" si="52"/>
        <v>15</v>
      </c>
      <c r="CX24" s="79">
        <v>1</v>
      </c>
      <c r="CY24" s="125">
        <v>20</v>
      </c>
      <c r="CZ24" s="79">
        <f t="shared" si="53"/>
        <v>40</v>
      </c>
      <c r="DA24" s="79">
        <v>2</v>
      </c>
      <c r="DB24" s="79">
        <f t="shared" si="54"/>
        <v>18.333333333333332</v>
      </c>
      <c r="DC24" s="79">
        <f t="shared" si="55"/>
        <v>55</v>
      </c>
      <c r="DD24" s="126">
        <f t="shared" si="56"/>
        <v>3</v>
      </c>
      <c r="DE24" s="64">
        <f t="shared" si="93"/>
        <v>13.553571428571429</v>
      </c>
      <c r="DF24" s="64">
        <f t="shared" si="57"/>
        <v>67.767857142857139</v>
      </c>
      <c r="DG24" s="64">
        <v>30</v>
      </c>
    </row>
    <row r="25" spans="1:111" ht="17" thickBot="1" x14ac:dyDescent="0.6">
      <c r="A25" s="45">
        <v>18</v>
      </c>
      <c r="B25" s="118" t="s">
        <v>115</v>
      </c>
      <c r="C25" s="119" t="s">
        <v>116</v>
      </c>
      <c r="D25" s="120">
        <v>19.5</v>
      </c>
      <c r="E25" s="79">
        <f t="shared" si="2"/>
        <v>19.5</v>
      </c>
      <c r="F25" s="79">
        <v>1</v>
      </c>
      <c r="G25" s="120">
        <v>3.5</v>
      </c>
      <c r="H25" s="79">
        <f t="shared" si="4"/>
        <v>3.5</v>
      </c>
      <c r="I25" s="79">
        <f t="shared" si="83"/>
        <v>0.29166666666666669</v>
      </c>
      <c r="J25" s="120">
        <v>16</v>
      </c>
      <c r="K25" s="79">
        <f t="shared" si="6"/>
        <v>16</v>
      </c>
      <c r="L25" s="79">
        <v>1</v>
      </c>
      <c r="M25" s="121">
        <v>19</v>
      </c>
      <c r="N25" s="79">
        <f t="shared" si="7"/>
        <v>19</v>
      </c>
      <c r="O25" s="79">
        <v>1</v>
      </c>
      <c r="P25" s="122">
        <v>17</v>
      </c>
      <c r="Q25" s="79">
        <f t="shared" si="8"/>
        <v>17</v>
      </c>
      <c r="R25" s="79">
        <v>1</v>
      </c>
      <c r="S25" s="79">
        <f t="shared" si="0"/>
        <v>15</v>
      </c>
      <c r="T25" s="79">
        <f t="shared" si="9"/>
        <v>75</v>
      </c>
      <c r="U25" s="79">
        <f t="shared" si="10"/>
        <v>4.291666666666667</v>
      </c>
      <c r="V25" s="123">
        <v>15.5</v>
      </c>
      <c r="W25" s="79">
        <f t="shared" si="11"/>
        <v>31</v>
      </c>
      <c r="X25" s="79">
        <v>1</v>
      </c>
      <c r="Y25" s="122">
        <v>16.5</v>
      </c>
      <c r="Z25" s="79">
        <f t="shared" si="12"/>
        <v>33</v>
      </c>
      <c r="AA25" s="79">
        <v>1</v>
      </c>
      <c r="AB25" s="120">
        <v>13.25</v>
      </c>
      <c r="AC25" s="79">
        <f t="shared" si="13"/>
        <v>39.75</v>
      </c>
      <c r="AD25" s="79">
        <v>2</v>
      </c>
      <c r="AE25" s="120">
        <v>20</v>
      </c>
      <c r="AF25" s="79">
        <f t="shared" si="14"/>
        <v>20</v>
      </c>
      <c r="AG25" s="79">
        <v>1</v>
      </c>
      <c r="AH25" s="123">
        <v>11</v>
      </c>
      <c r="AI25" s="79">
        <f t="shared" si="15"/>
        <v>11</v>
      </c>
      <c r="AJ25" s="79">
        <f t="shared" si="16"/>
        <v>0.91666666666666663</v>
      </c>
      <c r="AK25" s="79">
        <f t="shared" si="17"/>
        <v>14.972222222222221</v>
      </c>
      <c r="AL25" s="79">
        <f t="shared" si="18"/>
        <v>134.75</v>
      </c>
      <c r="AM25" s="79">
        <f t="shared" si="61"/>
        <v>5.916666666666667</v>
      </c>
      <c r="AN25" s="120">
        <v>10</v>
      </c>
      <c r="AO25" s="79">
        <f t="shared" si="19"/>
        <v>10</v>
      </c>
      <c r="AP25" s="79">
        <f t="shared" si="20"/>
        <v>0.83333333333333337</v>
      </c>
      <c r="AQ25" s="123">
        <v>19</v>
      </c>
      <c r="AR25" s="79">
        <f t="shared" si="21"/>
        <v>19</v>
      </c>
      <c r="AS25" s="79">
        <v>1</v>
      </c>
      <c r="AT25" s="120">
        <v>14.5</v>
      </c>
      <c r="AU25" s="79">
        <f t="shared" si="22"/>
        <v>14.5</v>
      </c>
      <c r="AV25" s="79">
        <v>1</v>
      </c>
      <c r="AW25" s="120">
        <v>7.5</v>
      </c>
      <c r="AX25" s="79">
        <f t="shared" si="23"/>
        <v>15</v>
      </c>
      <c r="AY25" s="79">
        <f t="shared" si="72"/>
        <v>0.625</v>
      </c>
      <c r="AZ25" s="123">
        <v>16</v>
      </c>
      <c r="BA25" s="79">
        <f t="shared" si="24"/>
        <v>32</v>
      </c>
      <c r="BB25" s="79">
        <v>1</v>
      </c>
      <c r="BC25" s="120">
        <v>5</v>
      </c>
      <c r="BD25" s="79">
        <f t="shared" si="26"/>
        <v>5</v>
      </c>
      <c r="BE25" s="79">
        <f t="shared" si="74"/>
        <v>0.41666666666666669</v>
      </c>
      <c r="BF25" s="79">
        <f t="shared" si="28"/>
        <v>11.9375</v>
      </c>
      <c r="BG25" s="79">
        <f t="shared" si="29"/>
        <v>95.5</v>
      </c>
      <c r="BH25" s="79">
        <f t="shared" si="30"/>
        <v>4.8750000000000009</v>
      </c>
      <c r="BI25" s="124">
        <v>6</v>
      </c>
      <c r="BJ25" s="79">
        <f t="shared" si="31"/>
        <v>6</v>
      </c>
      <c r="BK25" s="79">
        <v>2</v>
      </c>
      <c r="BL25" s="123">
        <v>17</v>
      </c>
      <c r="BM25" s="79">
        <f t="shared" si="32"/>
        <v>17</v>
      </c>
      <c r="BN25" s="79">
        <v>1</v>
      </c>
      <c r="BO25" s="120">
        <v>10.5</v>
      </c>
      <c r="BP25" s="79">
        <f t="shared" si="33"/>
        <v>10.5</v>
      </c>
      <c r="BQ25" s="79">
        <f t="shared" si="76"/>
        <v>0.875</v>
      </c>
      <c r="BR25" s="79">
        <f t="shared" si="35"/>
        <v>11.166666666666666</v>
      </c>
      <c r="BS25" s="79">
        <f t="shared" si="36"/>
        <v>33.5</v>
      </c>
      <c r="BT25" s="79">
        <f t="shared" si="37"/>
        <v>3.875</v>
      </c>
      <c r="BU25" s="121">
        <v>10</v>
      </c>
      <c r="BV25" s="79">
        <f t="shared" si="38"/>
        <v>10</v>
      </c>
      <c r="BW25" s="79">
        <f t="shared" si="77"/>
        <v>0.83333333333333337</v>
      </c>
      <c r="BX25" s="122">
        <v>16</v>
      </c>
      <c r="BY25" s="79">
        <f t="shared" si="39"/>
        <v>16</v>
      </c>
      <c r="BZ25" s="79">
        <v>1</v>
      </c>
      <c r="CA25" s="120">
        <v>15</v>
      </c>
      <c r="CB25" s="79">
        <f t="shared" si="40"/>
        <v>30</v>
      </c>
      <c r="CC25" s="79">
        <v>0.5</v>
      </c>
      <c r="CD25" s="120">
        <v>13.5</v>
      </c>
      <c r="CE25" s="79">
        <f t="shared" si="41"/>
        <v>40.5</v>
      </c>
      <c r="CF25" s="79">
        <v>0.5</v>
      </c>
      <c r="CG25" s="120">
        <v>13</v>
      </c>
      <c r="CH25" s="79">
        <f t="shared" si="43"/>
        <v>26</v>
      </c>
      <c r="CI25" s="79">
        <f t="shared" si="80"/>
        <v>0.54166666666666663</v>
      </c>
      <c r="CJ25" s="120">
        <v>11</v>
      </c>
      <c r="CK25" s="79">
        <f t="shared" si="44"/>
        <v>33</v>
      </c>
      <c r="CL25" s="79">
        <f t="shared" si="45"/>
        <v>0.45833333333333331</v>
      </c>
      <c r="CM25" s="123">
        <v>13</v>
      </c>
      <c r="CN25" s="79">
        <f t="shared" si="46"/>
        <v>13</v>
      </c>
      <c r="CO25" s="79">
        <v>1</v>
      </c>
      <c r="CP25" s="121">
        <v>17</v>
      </c>
      <c r="CQ25" s="79">
        <f t="shared" si="47"/>
        <v>17</v>
      </c>
      <c r="CR25" s="79">
        <v>1</v>
      </c>
      <c r="CS25" s="79">
        <f t="shared" si="49"/>
        <v>13.25</v>
      </c>
      <c r="CT25" s="79">
        <f t="shared" si="50"/>
        <v>185.5</v>
      </c>
      <c r="CU25" s="79">
        <f t="shared" si="51"/>
        <v>5.8333333333333339</v>
      </c>
      <c r="CV25" s="125">
        <v>18</v>
      </c>
      <c r="CW25" s="79">
        <f t="shared" si="52"/>
        <v>18</v>
      </c>
      <c r="CX25" s="79">
        <v>1</v>
      </c>
      <c r="CY25" s="125">
        <v>20</v>
      </c>
      <c r="CZ25" s="79">
        <f t="shared" si="53"/>
        <v>40</v>
      </c>
      <c r="DA25" s="79">
        <v>2</v>
      </c>
      <c r="DB25" s="79">
        <f t="shared" si="54"/>
        <v>19.333333333333332</v>
      </c>
      <c r="DC25" s="79">
        <f t="shared" si="55"/>
        <v>58</v>
      </c>
      <c r="DD25" s="126">
        <f t="shared" si="56"/>
        <v>3</v>
      </c>
      <c r="DE25" s="64">
        <f t="shared" si="93"/>
        <v>13.863095238095237</v>
      </c>
      <c r="DF25" s="64">
        <f t="shared" si="57"/>
        <v>69.315476190476176</v>
      </c>
      <c r="DG25" s="64">
        <v>30</v>
      </c>
    </row>
    <row r="26" spans="1:111" ht="17" thickBot="1" x14ac:dyDescent="0.6">
      <c r="A26" s="45">
        <v>19</v>
      </c>
      <c r="B26" s="118" t="s">
        <v>92</v>
      </c>
      <c r="C26" s="119" t="s">
        <v>117</v>
      </c>
      <c r="D26" s="120">
        <v>12.5</v>
      </c>
      <c r="E26" s="79">
        <f t="shared" si="2"/>
        <v>12.5</v>
      </c>
      <c r="F26" s="79">
        <f t="shared" si="69"/>
        <v>1.0416666666666667</v>
      </c>
      <c r="G26" s="120">
        <v>14</v>
      </c>
      <c r="H26" s="79">
        <f t="shared" si="4"/>
        <v>14</v>
      </c>
      <c r="I26" s="79">
        <v>1</v>
      </c>
      <c r="J26" s="120">
        <v>11.5</v>
      </c>
      <c r="K26" s="79">
        <f t="shared" si="6"/>
        <v>11.5</v>
      </c>
      <c r="L26" s="79">
        <f t="shared" si="70"/>
        <v>0.95833333333333337</v>
      </c>
      <c r="M26" s="121">
        <v>17</v>
      </c>
      <c r="N26" s="79">
        <f t="shared" si="7"/>
        <v>17</v>
      </c>
      <c r="O26" s="79">
        <v>1</v>
      </c>
      <c r="P26" s="122">
        <v>17</v>
      </c>
      <c r="Q26" s="79">
        <f t="shared" si="8"/>
        <v>17</v>
      </c>
      <c r="R26" s="79">
        <v>1</v>
      </c>
      <c r="S26" s="79">
        <f t="shared" si="0"/>
        <v>14.4</v>
      </c>
      <c r="T26" s="79">
        <f t="shared" si="9"/>
        <v>72</v>
      </c>
      <c r="U26" s="79">
        <f t="shared" si="10"/>
        <v>5</v>
      </c>
      <c r="V26" s="128">
        <v>15</v>
      </c>
      <c r="W26" s="79">
        <f t="shared" si="11"/>
        <v>30</v>
      </c>
      <c r="X26" s="79">
        <f t="shared" si="89"/>
        <v>1.25</v>
      </c>
      <c r="Y26" s="122">
        <v>12</v>
      </c>
      <c r="Z26" s="79">
        <f t="shared" si="12"/>
        <v>24</v>
      </c>
      <c r="AA26" s="79">
        <v>1</v>
      </c>
      <c r="AB26" s="120">
        <v>8</v>
      </c>
      <c r="AC26" s="79">
        <f t="shared" si="13"/>
        <v>24</v>
      </c>
      <c r="AD26" s="79">
        <f t="shared" si="94"/>
        <v>1.3333333333333333</v>
      </c>
      <c r="AE26" s="120">
        <v>17</v>
      </c>
      <c r="AF26" s="79">
        <f t="shared" si="14"/>
        <v>17</v>
      </c>
      <c r="AG26" s="79">
        <v>1</v>
      </c>
      <c r="AH26" s="123">
        <v>10.5</v>
      </c>
      <c r="AI26" s="79">
        <f t="shared" si="15"/>
        <v>10.5</v>
      </c>
      <c r="AJ26" s="79">
        <f t="shared" si="16"/>
        <v>0.875</v>
      </c>
      <c r="AK26" s="79">
        <f t="shared" si="17"/>
        <v>11.722222222222221</v>
      </c>
      <c r="AL26" s="79">
        <f t="shared" si="18"/>
        <v>105.5</v>
      </c>
      <c r="AM26" s="79">
        <f t="shared" si="61"/>
        <v>5.458333333333333</v>
      </c>
      <c r="AN26" s="127">
        <v>7.5</v>
      </c>
      <c r="AO26" s="79">
        <f t="shared" si="19"/>
        <v>7.5</v>
      </c>
      <c r="AP26" s="79">
        <f t="shared" si="20"/>
        <v>0.625</v>
      </c>
      <c r="AQ26" s="123">
        <v>7</v>
      </c>
      <c r="AR26" s="79">
        <f t="shared" si="21"/>
        <v>7</v>
      </c>
      <c r="AS26" s="79">
        <f t="shared" si="85"/>
        <v>0.58333333333333337</v>
      </c>
      <c r="AT26" s="120">
        <v>7</v>
      </c>
      <c r="AU26" s="79">
        <f t="shared" si="22"/>
        <v>7</v>
      </c>
      <c r="AV26" s="79">
        <f t="shared" si="62"/>
        <v>0.58333333333333337</v>
      </c>
      <c r="AW26" s="127">
        <v>12</v>
      </c>
      <c r="AX26" s="79">
        <f t="shared" si="23"/>
        <v>24</v>
      </c>
      <c r="AY26" s="79">
        <f t="shared" si="72"/>
        <v>1</v>
      </c>
      <c r="AZ26" s="128">
        <v>13</v>
      </c>
      <c r="BA26" s="79">
        <f t="shared" si="24"/>
        <v>26</v>
      </c>
      <c r="BB26" s="79">
        <f t="shared" si="73"/>
        <v>1.0833333333333333</v>
      </c>
      <c r="BC26" s="120">
        <v>5.5</v>
      </c>
      <c r="BD26" s="79">
        <f t="shared" si="26"/>
        <v>5.5</v>
      </c>
      <c r="BE26" s="79">
        <f t="shared" si="74"/>
        <v>0.45833333333333331</v>
      </c>
      <c r="BF26" s="79">
        <f t="shared" si="28"/>
        <v>9.625</v>
      </c>
      <c r="BG26" s="79">
        <f t="shared" si="29"/>
        <v>77</v>
      </c>
      <c r="BH26" s="79">
        <f t="shared" si="30"/>
        <v>4.333333333333333</v>
      </c>
      <c r="BI26" s="124"/>
      <c r="BJ26" s="79">
        <f t="shared" si="31"/>
        <v>0</v>
      </c>
      <c r="BK26" s="79">
        <f t="shared" si="75"/>
        <v>0</v>
      </c>
      <c r="BL26" s="123">
        <v>10</v>
      </c>
      <c r="BM26" s="79">
        <f t="shared" si="32"/>
        <v>10</v>
      </c>
      <c r="BN26" s="79">
        <f t="shared" si="86"/>
        <v>0.83333333333333337</v>
      </c>
      <c r="BO26" s="127">
        <v>10</v>
      </c>
      <c r="BP26" s="79">
        <f t="shared" si="33"/>
        <v>10</v>
      </c>
      <c r="BQ26" s="79">
        <f t="shared" si="76"/>
        <v>0.83333333333333337</v>
      </c>
      <c r="BR26" s="79">
        <f t="shared" si="35"/>
        <v>6.666666666666667</v>
      </c>
      <c r="BS26" s="79">
        <f t="shared" si="36"/>
        <v>20</v>
      </c>
      <c r="BT26" s="79">
        <f t="shared" si="37"/>
        <v>1.6666666666666667</v>
      </c>
      <c r="BU26" s="121">
        <v>8</v>
      </c>
      <c r="BV26" s="79">
        <f t="shared" si="38"/>
        <v>8</v>
      </c>
      <c r="BW26" s="79">
        <f t="shared" si="77"/>
        <v>0.66666666666666663</v>
      </c>
      <c r="BX26" s="122">
        <v>13</v>
      </c>
      <c r="BY26" s="79">
        <f t="shared" si="39"/>
        <v>13</v>
      </c>
      <c r="BZ26" s="79">
        <v>1</v>
      </c>
      <c r="CA26" s="120">
        <v>8.5</v>
      </c>
      <c r="CB26" s="79">
        <f t="shared" si="40"/>
        <v>17</v>
      </c>
      <c r="CC26" s="79">
        <f t="shared" si="78"/>
        <v>0.35416666666666669</v>
      </c>
      <c r="CD26" s="120">
        <v>12.5</v>
      </c>
      <c r="CE26" s="79">
        <f t="shared" si="41"/>
        <v>37.5</v>
      </c>
      <c r="CF26" s="79">
        <f t="shared" si="79"/>
        <v>0.52083333333333337</v>
      </c>
      <c r="CG26" s="127">
        <v>16</v>
      </c>
      <c r="CH26" s="79">
        <f t="shared" si="43"/>
        <v>32</v>
      </c>
      <c r="CI26" s="79">
        <f t="shared" si="80"/>
        <v>0.66666666666666663</v>
      </c>
      <c r="CJ26" s="120">
        <v>13.5</v>
      </c>
      <c r="CK26" s="79">
        <f t="shared" si="44"/>
        <v>40.5</v>
      </c>
      <c r="CL26" s="79">
        <v>0.5</v>
      </c>
      <c r="CM26" s="123">
        <v>14.5</v>
      </c>
      <c r="CN26" s="79">
        <f t="shared" si="46"/>
        <v>14.5</v>
      </c>
      <c r="CO26" s="79">
        <v>1</v>
      </c>
      <c r="CP26" s="121">
        <v>0</v>
      </c>
      <c r="CQ26" s="79">
        <f t="shared" si="47"/>
        <v>0</v>
      </c>
      <c r="CR26" s="79">
        <f t="shared" si="81"/>
        <v>0</v>
      </c>
      <c r="CS26" s="79">
        <f t="shared" si="49"/>
        <v>11.607142857142858</v>
      </c>
      <c r="CT26" s="79">
        <f t="shared" si="50"/>
        <v>162.5</v>
      </c>
      <c r="CU26" s="79">
        <f t="shared" si="51"/>
        <v>4.708333333333333</v>
      </c>
      <c r="CV26" s="125">
        <v>14</v>
      </c>
      <c r="CW26" s="79">
        <f t="shared" si="52"/>
        <v>14</v>
      </c>
      <c r="CX26" s="79">
        <v>1</v>
      </c>
      <c r="CY26" s="125">
        <v>0</v>
      </c>
      <c r="CZ26" s="79">
        <f t="shared" si="53"/>
        <v>0</v>
      </c>
      <c r="DA26" s="79">
        <f t="shared" si="87"/>
        <v>0</v>
      </c>
      <c r="DB26" s="79">
        <f t="shared" si="54"/>
        <v>4.666666666666667</v>
      </c>
      <c r="DC26" s="79">
        <f t="shared" si="55"/>
        <v>14</v>
      </c>
      <c r="DD26" s="126">
        <f t="shared" si="56"/>
        <v>1</v>
      </c>
      <c r="DE26" s="64">
        <f t="shared" si="93"/>
        <v>10.738095238095237</v>
      </c>
      <c r="DF26" s="64">
        <f t="shared" si="57"/>
        <v>53.690476190476183</v>
      </c>
      <c r="DG26" s="64">
        <f t="shared" si="82"/>
        <v>22.166666666666664</v>
      </c>
    </row>
    <row r="27" spans="1:111" ht="17" thickBot="1" x14ac:dyDescent="0.6">
      <c r="A27" s="45">
        <v>20</v>
      </c>
      <c r="B27" s="118" t="s">
        <v>108</v>
      </c>
      <c r="C27" s="119" t="s">
        <v>116</v>
      </c>
      <c r="D27" s="127">
        <v>15</v>
      </c>
      <c r="E27" s="79">
        <f t="shared" si="2"/>
        <v>15</v>
      </c>
      <c r="F27" s="79">
        <f t="shared" si="69"/>
        <v>1.25</v>
      </c>
      <c r="G27" s="120">
        <v>14.75</v>
      </c>
      <c r="H27" s="79">
        <f t="shared" si="4"/>
        <v>14.75</v>
      </c>
      <c r="I27" s="79">
        <v>1</v>
      </c>
      <c r="J27" s="127">
        <v>13</v>
      </c>
      <c r="K27" s="79">
        <f t="shared" si="6"/>
        <v>13</v>
      </c>
      <c r="L27" s="79">
        <f t="shared" si="70"/>
        <v>1.0833333333333333</v>
      </c>
      <c r="M27" s="128">
        <v>18</v>
      </c>
      <c r="N27" s="79">
        <f t="shared" si="7"/>
        <v>18</v>
      </c>
      <c r="O27" s="79">
        <f t="shared" si="84"/>
        <v>1.5</v>
      </c>
      <c r="P27" s="122">
        <v>18</v>
      </c>
      <c r="Q27" s="79">
        <f t="shared" si="8"/>
        <v>18</v>
      </c>
      <c r="R27" s="79">
        <v>1</v>
      </c>
      <c r="S27" s="79">
        <f t="shared" si="0"/>
        <v>15.75</v>
      </c>
      <c r="T27" s="79">
        <f t="shared" si="9"/>
        <v>78.75</v>
      </c>
      <c r="U27" s="79">
        <f t="shared" si="10"/>
        <v>5.833333333333333</v>
      </c>
      <c r="V27" s="128">
        <v>16</v>
      </c>
      <c r="W27" s="79">
        <f t="shared" si="11"/>
        <v>32</v>
      </c>
      <c r="X27" s="79">
        <f t="shared" si="89"/>
        <v>1.3333333333333333</v>
      </c>
      <c r="Y27" s="131">
        <v>14</v>
      </c>
      <c r="Z27" s="79">
        <f t="shared" si="12"/>
        <v>28</v>
      </c>
      <c r="AA27" s="79">
        <f t="shared" si="90"/>
        <v>1.1666666666666667</v>
      </c>
      <c r="AB27" s="120">
        <v>14</v>
      </c>
      <c r="AC27" s="79">
        <f t="shared" si="13"/>
        <v>42</v>
      </c>
      <c r="AD27" s="79">
        <v>2</v>
      </c>
      <c r="AE27" s="120">
        <v>20</v>
      </c>
      <c r="AF27" s="79">
        <f t="shared" si="14"/>
        <v>20</v>
      </c>
      <c r="AG27" s="79">
        <v>1</v>
      </c>
      <c r="AH27" s="128">
        <v>14</v>
      </c>
      <c r="AI27" s="79">
        <f t="shared" si="15"/>
        <v>14</v>
      </c>
      <c r="AJ27" s="79">
        <f t="shared" si="16"/>
        <v>1.1666666666666667</v>
      </c>
      <c r="AK27" s="79">
        <f t="shared" si="17"/>
        <v>15.111111111111111</v>
      </c>
      <c r="AL27" s="79">
        <f t="shared" si="18"/>
        <v>136</v>
      </c>
      <c r="AM27" s="79">
        <f t="shared" si="61"/>
        <v>6.666666666666667</v>
      </c>
      <c r="AN27" s="127">
        <v>11</v>
      </c>
      <c r="AO27" s="79">
        <f t="shared" si="19"/>
        <v>11</v>
      </c>
      <c r="AP27" s="79">
        <f t="shared" si="20"/>
        <v>0.91666666666666663</v>
      </c>
      <c r="AQ27" s="123">
        <v>13</v>
      </c>
      <c r="AR27" s="79">
        <f t="shared" si="21"/>
        <v>13</v>
      </c>
      <c r="AS27" s="79">
        <v>1</v>
      </c>
      <c r="AT27" s="127">
        <v>10</v>
      </c>
      <c r="AU27" s="79">
        <f t="shared" si="22"/>
        <v>10</v>
      </c>
      <c r="AV27" s="79">
        <f t="shared" si="62"/>
        <v>0.83333333333333337</v>
      </c>
      <c r="AW27" s="127">
        <v>12</v>
      </c>
      <c r="AX27" s="79">
        <f t="shared" si="23"/>
        <v>24</v>
      </c>
      <c r="AY27" s="79">
        <f t="shared" si="72"/>
        <v>1</v>
      </c>
      <c r="AZ27" s="128">
        <v>13</v>
      </c>
      <c r="BA27" s="79">
        <f t="shared" si="24"/>
        <v>26</v>
      </c>
      <c r="BB27" s="79">
        <f t="shared" si="73"/>
        <v>1.0833333333333333</v>
      </c>
      <c r="BC27" s="127">
        <v>13</v>
      </c>
      <c r="BD27" s="79">
        <f t="shared" si="26"/>
        <v>13</v>
      </c>
      <c r="BE27" s="79">
        <f t="shared" si="74"/>
        <v>1.0833333333333333</v>
      </c>
      <c r="BF27" s="79">
        <f t="shared" si="28"/>
        <v>12.125</v>
      </c>
      <c r="BG27" s="79">
        <f t="shared" si="29"/>
        <v>97</v>
      </c>
      <c r="BH27" s="79">
        <f t="shared" si="30"/>
        <v>5.9166666666666661</v>
      </c>
      <c r="BI27" s="124">
        <v>8</v>
      </c>
      <c r="BJ27" s="79">
        <f t="shared" si="31"/>
        <v>8</v>
      </c>
      <c r="BK27" s="79">
        <f t="shared" si="75"/>
        <v>1.3333333333333333</v>
      </c>
      <c r="BL27" s="123">
        <v>13</v>
      </c>
      <c r="BM27" s="79">
        <f t="shared" si="32"/>
        <v>13</v>
      </c>
      <c r="BN27" s="79">
        <v>1</v>
      </c>
      <c r="BO27" s="127">
        <v>12</v>
      </c>
      <c r="BP27" s="79">
        <f t="shared" si="33"/>
        <v>12</v>
      </c>
      <c r="BQ27" s="79">
        <f t="shared" si="76"/>
        <v>1</v>
      </c>
      <c r="BR27" s="79">
        <f t="shared" si="35"/>
        <v>11</v>
      </c>
      <c r="BS27" s="79">
        <f t="shared" si="36"/>
        <v>33</v>
      </c>
      <c r="BT27" s="79">
        <f t="shared" si="37"/>
        <v>3.333333333333333</v>
      </c>
      <c r="BU27" s="121">
        <v>12.5</v>
      </c>
      <c r="BV27" s="79">
        <f t="shared" si="38"/>
        <v>12.5</v>
      </c>
      <c r="BW27" s="79">
        <f t="shared" si="77"/>
        <v>1.0416666666666667</v>
      </c>
      <c r="BX27" s="131">
        <v>12</v>
      </c>
      <c r="BY27" s="79">
        <f t="shared" si="39"/>
        <v>12</v>
      </c>
      <c r="BZ27" s="79">
        <f t="shared" si="91"/>
        <v>1</v>
      </c>
      <c r="CA27" s="127">
        <v>12.5</v>
      </c>
      <c r="CB27" s="79">
        <f t="shared" si="40"/>
        <v>25</v>
      </c>
      <c r="CC27" s="79">
        <f t="shared" si="78"/>
        <v>0.52083333333333337</v>
      </c>
      <c r="CD27" s="120">
        <v>11.5</v>
      </c>
      <c r="CE27" s="79">
        <f t="shared" si="41"/>
        <v>34.5</v>
      </c>
      <c r="CF27" s="79">
        <f t="shared" si="79"/>
        <v>0.47916666666666669</v>
      </c>
      <c r="CG27" s="127">
        <v>13</v>
      </c>
      <c r="CH27" s="79">
        <f t="shared" si="43"/>
        <v>26</v>
      </c>
      <c r="CI27" s="79">
        <f t="shared" si="80"/>
        <v>0.54166666666666663</v>
      </c>
      <c r="CJ27" s="120">
        <v>12</v>
      </c>
      <c r="CK27" s="79">
        <f t="shared" si="44"/>
        <v>36</v>
      </c>
      <c r="CL27" s="79">
        <f t="shared" si="45"/>
        <v>0.5</v>
      </c>
      <c r="CM27" s="128">
        <v>15</v>
      </c>
      <c r="CN27" s="79">
        <f t="shared" si="46"/>
        <v>15</v>
      </c>
      <c r="CO27" s="79">
        <v>1</v>
      </c>
      <c r="CP27" s="121">
        <v>9.5</v>
      </c>
      <c r="CQ27" s="79">
        <f t="shared" si="47"/>
        <v>9.5</v>
      </c>
      <c r="CR27" s="79">
        <f t="shared" si="81"/>
        <v>0.79166666666666663</v>
      </c>
      <c r="CS27" s="79">
        <f t="shared" si="49"/>
        <v>12.178571428571429</v>
      </c>
      <c r="CT27" s="79">
        <f t="shared" si="50"/>
        <v>170.5</v>
      </c>
      <c r="CU27" s="79">
        <f t="shared" si="51"/>
        <v>5.8750000000000009</v>
      </c>
      <c r="CV27" s="129">
        <v>15</v>
      </c>
      <c r="CW27" s="79">
        <f t="shared" si="52"/>
        <v>15</v>
      </c>
      <c r="CX27" s="79">
        <f t="shared" si="92"/>
        <v>1.25</v>
      </c>
      <c r="CY27" s="125">
        <v>13.5</v>
      </c>
      <c r="CZ27" s="79">
        <f t="shared" si="53"/>
        <v>27</v>
      </c>
      <c r="DA27" s="79">
        <v>2</v>
      </c>
      <c r="DB27" s="79">
        <f t="shared" si="54"/>
        <v>14</v>
      </c>
      <c r="DC27" s="79">
        <f t="shared" si="55"/>
        <v>42</v>
      </c>
      <c r="DD27" s="126">
        <f t="shared" si="56"/>
        <v>3.25</v>
      </c>
      <c r="DE27" s="64">
        <f t="shared" si="93"/>
        <v>13.267857142857142</v>
      </c>
      <c r="DF27" s="64">
        <f t="shared" si="57"/>
        <v>66.339285714285708</v>
      </c>
      <c r="DG27" s="64">
        <v>30</v>
      </c>
    </row>
    <row r="28" spans="1:111" ht="17" thickBot="1" x14ac:dyDescent="0.6">
      <c r="A28" s="45">
        <v>21</v>
      </c>
      <c r="B28" s="118" t="s">
        <v>118</v>
      </c>
      <c r="C28" s="119" t="s">
        <v>119</v>
      </c>
      <c r="D28" s="120">
        <v>18</v>
      </c>
      <c r="E28" s="79">
        <f t="shared" si="2"/>
        <v>18</v>
      </c>
      <c r="F28" s="79">
        <v>1</v>
      </c>
      <c r="G28" s="120">
        <v>19.25</v>
      </c>
      <c r="H28" s="79">
        <f t="shared" si="4"/>
        <v>19.25</v>
      </c>
      <c r="I28" s="79">
        <v>1</v>
      </c>
      <c r="J28" s="120">
        <v>13.5</v>
      </c>
      <c r="K28" s="79">
        <f t="shared" si="6"/>
        <v>13.5</v>
      </c>
      <c r="L28" s="79">
        <v>1</v>
      </c>
      <c r="M28" s="121">
        <v>17</v>
      </c>
      <c r="N28" s="79">
        <f t="shared" si="7"/>
        <v>17</v>
      </c>
      <c r="O28" s="79">
        <v>1</v>
      </c>
      <c r="P28" s="122">
        <v>18</v>
      </c>
      <c r="Q28" s="79">
        <f t="shared" si="8"/>
        <v>18</v>
      </c>
      <c r="R28" s="79">
        <v>1</v>
      </c>
      <c r="S28" s="79">
        <f t="shared" si="0"/>
        <v>17.149999999999999</v>
      </c>
      <c r="T28" s="79">
        <f t="shared" si="9"/>
        <v>85.75</v>
      </c>
      <c r="U28" s="79">
        <f t="shared" si="10"/>
        <v>5</v>
      </c>
      <c r="V28" s="123">
        <v>18</v>
      </c>
      <c r="W28" s="79">
        <f t="shared" si="11"/>
        <v>36</v>
      </c>
      <c r="X28" s="79">
        <v>1</v>
      </c>
      <c r="Y28" s="122">
        <v>13</v>
      </c>
      <c r="Z28" s="79">
        <f t="shared" si="12"/>
        <v>26</v>
      </c>
      <c r="AA28" s="79">
        <v>1</v>
      </c>
      <c r="AB28" s="120">
        <v>16</v>
      </c>
      <c r="AC28" s="79">
        <f t="shared" si="13"/>
        <v>48</v>
      </c>
      <c r="AD28" s="79">
        <v>2</v>
      </c>
      <c r="AE28" s="120">
        <v>19</v>
      </c>
      <c r="AF28" s="79">
        <f t="shared" si="14"/>
        <v>19</v>
      </c>
      <c r="AG28" s="79">
        <v>1</v>
      </c>
      <c r="AH28" s="123">
        <v>12.5</v>
      </c>
      <c r="AI28" s="79">
        <f t="shared" si="15"/>
        <v>12.5</v>
      </c>
      <c r="AJ28" s="79">
        <f t="shared" si="16"/>
        <v>1.0416666666666667</v>
      </c>
      <c r="AK28" s="79">
        <f t="shared" si="17"/>
        <v>15.722222222222221</v>
      </c>
      <c r="AL28" s="79">
        <f t="shared" si="18"/>
        <v>141.5</v>
      </c>
      <c r="AM28" s="79">
        <f t="shared" si="61"/>
        <v>6.041666666666667</v>
      </c>
      <c r="AN28" s="120">
        <v>6.5</v>
      </c>
      <c r="AO28" s="79">
        <f t="shared" si="19"/>
        <v>6.5</v>
      </c>
      <c r="AP28" s="79">
        <f t="shared" si="20"/>
        <v>0.54166666666666663</v>
      </c>
      <c r="AQ28" s="123">
        <v>19</v>
      </c>
      <c r="AR28" s="79">
        <f t="shared" si="21"/>
        <v>19</v>
      </c>
      <c r="AS28" s="79">
        <v>1</v>
      </c>
      <c r="AT28" s="120">
        <v>18.5</v>
      </c>
      <c r="AU28" s="79">
        <f t="shared" si="22"/>
        <v>18.5</v>
      </c>
      <c r="AV28" s="79">
        <v>1</v>
      </c>
      <c r="AW28" s="120">
        <v>7.5</v>
      </c>
      <c r="AX28" s="79">
        <f t="shared" si="23"/>
        <v>15</v>
      </c>
      <c r="AY28" s="79">
        <f t="shared" si="72"/>
        <v>0.625</v>
      </c>
      <c r="AZ28" s="123">
        <v>18</v>
      </c>
      <c r="BA28" s="79">
        <f t="shared" si="24"/>
        <v>36</v>
      </c>
      <c r="BB28" s="79">
        <v>1</v>
      </c>
      <c r="BC28" s="120">
        <v>12.5</v>
      </c>
      <c r="BD28" s="79">
        <f t="shared" si="26"/>
        <v>12.5</v>
      </c>
      <c r="BE28" s="79">
        <f t="shared" si="74"/>
        <v>1.0416666666666667</v>
      </c>
      <c r="BF28" s="79">
        <f t="shared" si="28"/>
        <v>13.4375</v>
      </c>
      <c r="BG28" s="79">
        <f t="shared" si="29"/>
        <v>107.5</v>
      </c>
      <c r="BH28" s="79">
        <f t="shared" si="30"/>
        <v>5.208333333333333</v>
      </c>
      <c r="BI28" s="124">
        <v>9</v>
      </c>
      <c r="BJ28" s="79">
        <f t="shared" si="31"/>
        <v>9</v>
      </c>
      <c r="BK28" s="79">
        <v>2</v>
      </c>
      <c r="BL28" s="123">
        <v>15</v>
      </c>
      <c r="BM28" s="79">
        <f t="shared" si="32"/>
        <v>15</v>
      </c>
      <c r="BN28" s="79">
        <f t="shared" si="86"/>
        <v>1.25</v>
      </c>
      <c r="BO28" s="120">
        <v>2</v>
      </c>
      <c r="BP28" s="79">
        <f t="shared" si="33"/>
        <v>2</v>
      </c>
      <c r="BQ28" s="79">
        <f t="shared" si="76"/>
        <v>0.16666666666666666</v>
      </c>
      <c r="BR28" s="79">
        <f t="shared" si="35"/>
        <v>8.6666666666666661</v>
      </c>
      <c r="BS28" s="79">
        <f t="shared" si="36"/>
        <v>26</v>
      </c>
      <c r="BT28" s="79">
        <f t="shared" si="37"/>
        <v>3.4166666666666665</v>
      </c>
      <c r="BU28" s="121">
        <v>19.75</v>
      </c>
      <c r="BV28" s="79">
        <f t="shared" si="38"/>
        <v>19.75</v>
      </c>
      <c r="BW28" s="79">
        <v>1</v>
      </c>
      <c r="BX28" s="122">
        <v>19</v>
      </c>
      <c r="BY28" s="79">
        <f t="shared" si="39"/>
        <v>19</v>
      </c>
      <c r="BZ28" s="79">
        <v>1</v>
      </c>
      <c r="CA28" s="120">
        <v>15</v>
      </c>
      <c r="CB28" s="79">
        <f t="shared" si="40"/>
        <v>30</v>
      </c>
      <c r="CC28" s="79">
        <v>0.5</v>
      </c>
      <c r="CD28" s="120">
        <v>12</v>
      </c>
      <c r="CE28" s="79">
        <f t="shared" si="41"/>
        <v>36</v>
      </c>
      <c r="CF28" s="79">
        <f t="shared" si="79"/>
        <v>0.5</v>
      </c>
      <c r="CG28" s="120">
        <v>13</v>
      </c>
      <c r="CH28" s="79">
        <f t="shared" si="43"/>
        <v>26</v>
      </c>
      <c r="CI28" s="79">
        <f t="shared" si="80"/>
        <v>0.54166666666666663</v>
      </c>
      <c r="CJ28" s="120">
        <v>7</v>
      </c>
      <c r="CK28" s="79">
        <f t="shared" si="44"/>
        <v>21</v>
      </c>
      <c r="CL28" s="79">
        <f t="shared" si="45"/>
        <v>0.29166666666666669</v>
      </c>
      <c r="CM28" s="123">
        <v>12.5</v>
      </c>
      <c r="CN28" s="79">
        <f t="shared" si="46"/>
        <v>12.5</v>
      </c>
      <c r="CO28" s="79">
        <f t="shared" si="88"/>
        <v>1.0416666666666667</v>
      </c>
      <c r="CP28" s="121">
        <v>14</v>
      </c>
      <c r="CQ28" s="79">
        <f t="shared" si="47"/>
        <v>14</v>
      </c>
      <c r="CR28" s="79">
        <v>1</v>
      </c>
      <c r="CS28" s="79">
        <f t="shared" si="49"/>
        <v>12.732142857142858</v>
      </c>
      <c r="CT28" s="79">
        <f t="shared" si="50"/>
        <v>178.25</v>
      </c>
      <c r="CU28" s="79">
        <f t="shared" si="51"/>
        <v>5.875</v>
      </c>
      <c r="CV28" s="125">
        <v>17</v>
      </c>
      <c r="CW28" s="79">
        <f t="shared" si="52"/>
        <v>17</v>
      </c>
      <c r="CX28" s="79">
        <v>1</v>
      </c>
      <c r="CY28" s="125">
        <v>13.5</v>
      </c>
      <c r="CZ28" s="79">
        <f t="shared" si="53"/>
        <v>27</v>
      </c>
      <c r="DA28" s="79">
        <v>2</v>
      </c>
      <c r="DB28" s="79">
        <f t="shared" si="54"/>
        <v>14.666666666666666</v>
      </c>
      <c r="DC28" s="79">
        <f t="shared" si="55"/>
        <v>44</v>
      </c>
      <c r="DD28" s="126">
        <f t="shared" si="56"/>
        <v>3</v>
      </c>
      <c r="DE28" s="64">
        <f t="shared" si="93"/>
        <v>13.880952380952381</v>
      </c>
      <c r="DF28" s="64">
        <f t="shared" si="57"/>
        <v>69.404761904761898</v>
      </c>
      <c r="DG28" s="64">
        <v>30</v>
      </c>
    </row>
    <row r="29" spans="1:111" ht="17" thickBot="1" x14ac:dyDescent="0.6">
      <c r="A29" s="45">
        <v>22</v>
      </c>
      <c r="B29" s="118" t="s">
        <v>120</v>
      </c>
      <c r="C29" s="119" t="s">
        <v>121</v>
      </c>
      <c r="D29" s="119">
        <v>15.5</v>
      </c>
      <c r="E29" s="79">
        <f t="shared" si="2"/>
        <v>15.5</v>
      </c>
      <c r="F29" s="79">
        <v>1</v>
      </c>
      <c r="G29" s="119">
        <v>15.25</v>
      </c>
      <c r="H29" s="79">
        <f t="shared" si="4"/>
        <v>15.25</v>
      </c>
      <c r="I29" s="79">
        <v>1</v>
      </c>
      <c r="J29" s="119">
        <v>12</v>
      </c>
      <c r="K29" s="79">
        <f t="shared" si="6"/>
        <v>12</v>
      </c>
      <c r="L29" s="79">
        <f t="shared" si="70"/>
        <v>1</v>
      </c>
      <c r="M29" s="119">
        <v>17</v>
      </c>
      <c r="N29" s="79">
        <f t="shared" si="7"/>
        <v>17</v>
      </c>
      <c r="O29" s="79">
        <v>1</v>
      </c>
      <c r="P29" s="122">
        <v>18</v>
      </c>
      <c r="Q29" s="79">
        <f t="shared" si="8"/>
        <v>18</v>
      </c>
      <c r="R29" s="79">
        <v>1</v>
      </c>
      <c r="S29" s="79">
        <f t="shared" si="0"/>
        <v>15.55</v>
      </c>
      <c r="T29" s="79">
        <f t="shared" si="9"/>
        <v>77.75</v>
      </c>
      <c r="U29" s="79">
        <f t="shared" si="10"/>
        <v>5</v>
      </c>
      <c r="V29" s="119">
        <v>15</v>
      </c>
      <c r="W29" s="79">
        <f t="shared" si="11"/>
        <v>30</v>
      </c>
      <c r="X29" s="79">
        <v>1</v>
      </c>
      <c r="Y29" s="122">
        <v>17</v>
      </c>
      <c r="Z29" s="79">
        <f t="shared" si="12"/>
        <v>34</v>
      </c>
      <c r="AA29" s="79">
        <v>1</v>
      </c>
      <c r="AB29" s="119">
        <v>16</v>
      </c>
      <c r="AC29" s="79">
        <f t="shared" si="13"/>
        <v>48</v>
      </c>
      <c r="AD29" s="79">
        <v>2</v>
      </c>
      <c r="AE29" s="119">
        <v>18</v>
      </c>
      <c r="AF29" s="79">
        <f t="shared" si="14"/>
        <v>18</v>
      </c>
      <c r="AG29" s="79">
        <v>1</v>
      </c>
      <c r="AH29" s="119">
        <v>10.5</v>
      </c>
      <c r="AI29" s="79">
        <f t="shared" si="15"/>
        <v>10.5</v>
      </c>
      <c r="AJ29" s="79">
        <f t="shared" si="16"/>
        <v>0.875</v>
      </c>
      <c r="AK29" s="79">
        <f t="shared" si="17"/>
        <v>15.611111111111111</v>
      </c>
      <c r="AL29" s="79">
        <f t="shared" si="18"/>
        <v>140.5</v>
      </c>
      <c r="AM29" s="79">
        <f t="shared" si="61"/>
        <v>5.875</v>
      </c>
      <c r="AN29" s="119">
        <v>3.5</v>
      </c>
      <c r="AO29" s="79">
        <f t="shared" si="19"/>
        <v>3.5</v>
      </c>
      <c r="AP29" s="79">
        <f t="shared" si="20"/>
        <v>0.29166666666666669</v>
      </c>
      <c r="AQ29" s="119">
        <v>17</v>
      </c>
      <c r="AR29" s="79">
        <f t="shared" si="21"/>
        <v>17</v>
      </c>
      <c r="AS29" s="79">
        <v>1</v>
      </c>
      <c r="AT29" s="119">
        <v>2.5</v>
      </c>
      <c r="AU29" s="79">
        <f t="shared" si="22"/>
        <v>2.5</v>
      </c>
      <c r="AV29" s="79">
        <f t="shared" si="62"/>
        <v>0.20833333333333334</v>
      </c>
      <c r="AW29" s="119">
        <v>11.5</v>
      </c>
      <c r="AX29" s="79">
        <f t="shared" si="23"/>
        <v>23</v>
      </c>
      <c r="AY29" s="79">
        <f t="shared" si="72"/>
        <v>0.95833333333333337</v>
      </c>
      <c r="AZ29" s="119">
        <v>9.75</v>
      </c>
      <c r="BA29" s="79">
        <f t="shared" si="24"/>
        <v>19.5</v>
      </c>
      <c r="BB29" s="79">
        <f t="shared" si="73"/>
        <v>0.8125</v>
      </c>
      <c r="BC29" s="119">
        <v>12</v>
      </c>
      <c r="BD29" s="79">
        <f t="shared" si="26"/>
        <v>12</v>
      </c>
      <c r="BE29" s="79">
        <f t="shared" si="74"/>
        <v>1</v>
      </c>
      <c r="BF29" s="79">
        <f t="shared" si="28"/>
        <v>9.6875</v>
      </c>
      <c r="BG29" s="79">
        <f t="shared" si="29"/>
        <v>77.5</v>
      </c>
      <c r="BH29" s="79">
        <f t="shared" si="30"/>
        <v>4.2708333333333339</v>
      </c>
      <c r="BI29" s="124">
        <v>8</v>
      </c>
      <c r="BJ29" s="79">
        <f t="shared" si="31"/>
        <v>8</v>
      </c>
      <c r="BK29" s="79">
        <v>2</v>
      </c>
      <c r="BL29" s="119">
        <v>16</v>
      </c>
      <c r="BM29" s="79">
        <f t="shared" si="32"/>
        <v>16</v>
      </c>
      <c r="BN29" s="79">
        <v>1</v>
      </c>
      <c r="BO29" s="120">
        <v>7</v>
      </c>
      <c r="BP29" s="79">
        <f t="shared" si="33"/>
        <v>7</v>
      </c>
      <c r="BQ29" s="79">
        <f t="shared" si="76"/>
        <v>0.58333333333333337</v>
      </c>
      <c r="BR29" s="79">
        <f t="shared" si="35"/>
        <v>10.333333333333334</v>
      </c>
      <c r="BS29" s="79">
        <f t="shared" si="36"/>
        <v>31</v>
      </c>
      <c r="BT29" s="79">
        <f t="shared" si="37"/>
        <v>3.5833333333333335</v>
      </c>
      <c r="BU29" s="119">
        <v>16.5</v>
      </c>
      <c r="BV29" s="79">
        <f t="shared" si="38"/>
        <v>16.5</v>
      </c>
      <c r="BW29" s="79">
        <v>1</v>
      </c>
      <c r="BX29" s="122">
        <v>15</v>
      </c>
      <c r="BY29" s="79">
        <f t="shared" si="39"/>
        <v>15</v>
      </c>
      <c r="BZ29" s="79">
        <v>1</v>
      </c>
      <c r="CA29" s="119">
        <v>12</v>
      </c>
      <c r="CB29" s="79">
        <f t="shared" si="40"/>
        <v>24</v>
      </c>
      <c r="CC29" s="79">
        <f t="shared" si="78"/>
        <v>0.5</v>
      </c>
      <c r="CD29" s="119">
        <v>13.5</v>
      </c>
      <c r="CE29" s="79">
        <f t="shared" si="41"/>
        <v>40.5</v>
      </c>
      <c r="CF29" s="79">
        <v>0.5</v>
      </c>
      <c r="CG29" s="119">
        <v>8</v>
      </c>
      <c r="CH29" s="79">
        <f t="shared" si="43"/>
        <v>16</v>
      </c>
      <c r="CI29" s="79">
        <f t="shared" si="80"/>
        <v>0.33333333333333331</v>
      </c>
      <c r="CJ29" s="120">
        <v>8</v>
      </c>
      <c r="CK29" s="79">
        <f t="shared" si="44"/>
        <v>24</v>
      </c>
      <c r="CL29" s="79">
        <f t="shared" si="45"/>
        <v>0.33333333333333331</v>
      </c>
      <c r="CM29" s="119">
        <v>13</v>
      </c>
      <c r="CN29" s="79">
        <f t="shared" si="46"/>
        <v>13</v>
      </c>
      <c r="CO29" s="79">
        <v>1</v>
      </c>
      <c r="CP29" s="119">
        <v>12.5</v>
      </c>
      <c r="CQ29" s="79">
        <f t="shared" si="47"/>
        <v>12.5</v>
      </c>
      <c r="CR29" s="79">
        <f t="shared" si="81"/>
        <v>1.0416666666666667</v>
      </c>
      <c r="CS29" s="79">
        <f t="shared" si="49"/>
        <v>11.535714285714286</v>
      </c>
      <c r="CT29" s="79">
        <f t="shared" si="50"/>
        <v>161.5</v>
      </c>
      <c r="CU29" s="79">
        <f t="shared" si="51"/>
        <v>5.7083333333333339</v>
      </c>
      <c r="CV29" s="119">
        <v>18</v>
      </c>
      <c r="CW29" s="79">
        <f t="shared" si="52"/>
        <v>18</v>
      </c>
      <c r="CX29" s="79">
        <v>1</v>
      </c>
      <c r="CY29" s="119">
        <v>17</v>
      </c>
      <c r="CZ29" s="79">
        <f t="shared" si="53"/>
        <v>34</v>
      </c>
      <c r="DA29" s="79">
        <v>2</v>
      </c>
      <c r="DB29" s="79">
        <f t="shared" si="54"/>
        <v>17.333333333333332</v>
      </c>
      <c r="DC29" s="79">
        <f t="shared" si="55"/>
        <v>52</v>
      </c>
      <c r="DD29" s="126">
        <f t="shared" si="56"/>
        <v>3</v>
      </c>
      <c r="DE29" s="64">
        <f t="shared" si="93"/>
        <v>12.863095238095237</v>
      </c>
      <c r="DF29" s="64">
        <f t="shared" si="57"/>
        <v>64.315476190476176</v>
      </c>
      <c r="DG29" s="64">
        <v>30</v>
      </c>
    </row>
    <row r="30" spans="1:111" ht="17" thickBot="1" x14ac:dyDescent="0.6">
      <c r="A30" s="45">
        <v>23</v>
      </c>
      <c r="B30" s="118" t="s">
        <v>99</v>
      </c>
      <c r="C30" s="119" t="s">
        <v>122</v>
      </c>
      <c r="D30" s="119">
        <v>16.5</v>
      </c>
      <c r="E30" s="79">
        <f t="shared" si="2"/>
        <v>16.5</v>
      </c>
      <c r="F30" s="79">
        <v>1</v>
      </c>
      <c r="G30" s="119">
        <v>18</v>
      </c>
      <c r="H30" s="79">
        <f t="shared" si="4"/>
        <v>18</v>
      </c>
      <c r="I30" s="79">
        <v>1</v>
      </c>
      <c r="J30" s="119">
        <v>13</v>
      </c>
      <c r="K30" s="79">
        <f t="shared" si="6"/>
        <v>13</v>
      </c>
      <c r="L30" s="79">
        <v>1</v>
      </c>
      <c r="M30" s="119">
        <v>19</v>
      </c>
      <c r="N30" s="79">
        <f t="shared" si="7"/>
        <v>19</v>
      </c>
      <c r="O30" s="79">
        <v>1</v>
      </c>
      <c r="P30" s="122">
        <v>18</v>
      </c>
      <c r="Q30" s="79">
        <f t="shared" si="8"/>
        <v>18</v>
      </c>
      <c r="R30" s="79">
        <v>1</v>
      </c>
      <c r="S30" s="79">
        <f t="shared" si="0"/>
        <v>16.899999999999999</v>
      </c>
      <c r="T30" s="79">
        <f t="shared" si="9"/>
        <v>84.5</v>
      </c>
      <c r="U30" s="79">
        <f t="shared" si="10"/>
        <v>5</v>
      </c>
      <c r="V30" s="119">
        <v>12.5</v>
      </c>
      <c r="W30" s="79">
        <f t="shared" si="11"/>
        <v>25</v>
      </c>
      <c r="X30" s="79">
        <f t="shared" si="89"/>
        <v>1.0416666666666667</v>
      </c>
      <c r="Y30" s="122">
        <v>18.5</v>
      </c>
      <c r="Z30" s="79">
        <f t="shared" si="12"/>
        <v>37</v>
      </c>
      <c r="AA30" s="79">
        <v>1</v>
      </c>
      <c r="AB30" s="119">
        <v>17</v>
      </c>
      <c r="AC30" s="79">
        <f t="shared" si="13"/>
        <v>51</v>
      </c>
      <c r="AD30" s="79">
        <v>2</v>
      </c>
      <c r="AE30" s="119">
        <v>18</v>
      </c>
      <c r="AF30" s="79">
        <f t="shared" si="14"/>
        <v>18</v>
      </c>
      <c r="AG30" s="79">
        <v>1</v>
      </c>
      <c r="AH30" s="119">
        <v>10</v>
      </c>
      <c r="AI30" s="79">
        <f t="shared" si="15"/>
        <v>10</v>
      </c>
      <c r="AJ30" s="79">
        <f t="shared" si="16"/>
        <v>0.83333333333333337</v>
      </c>
      <c r="AK30" s="79">
        <f t="shared" si="17"/>
        <v>15.666666666666666</v>
      </c>
      <c r="AL30" s="79">
        <f t="shared" si="18"/>
        <v>141</v>
      </c>
      <c r="AM30" s="79">
        <f t="shared" si="61"/>
        <v>5.875</v>
      </c>
      <c r="AN30" s="119">
        <v>7.5</v>
      </c>
      <c r="AO30" s="79">
        <f t="shared" si="19"/>
        <v>7.5</v>
      </c>
      <c r="AP30" s="79">
        <f t="shared" si="20"/>
        <v>0.625</v>
      </c>
      <c r="AQ30" s="119">
        <v>18</v>
      </c>
      <c r="AR30" s="79">
        <f t="shared" si="21"/>
        <v>18</v>
      </c>
      <c r="AS30" s="79">
        <v>1</v>
      </c>
      <c r="AT30" s="119">
        <v>10.5</v>
      </c>
      <c r="AU30" s="79">
        <f t="shared" si="22"/>
        <v>10.5</v>
      </c>
      <c r="AV30" s="79">
        <f t="shared" si="62"/>
        <v>0.875</v>
      </c>
      <c r="AW30" s="119">
        <v>13.5</v>
      </c>
      <c r="AX30" s="79">
        <f t="shared" si="23"/>
        <v>27</v>
      </c>
      <c r="AY30" s="79">
        <v>1</v>
      </c>
      <c r="AZ30" s="119">
        <v>14.25</v>
      </c>
      <c r="BA30" s="79">
        <f t="shared" si="24"/>
        <v>28.5</v>
      </c>
      <c r="BB30" s="79">
        <v>1</v>
      </c>
      <c r="BC30" s="119">
        <v>8</v>
      </c>
      <c r="BD30" s="79">
        <f t="shared" si="26"/>
        <v>8</v>
      </c>
      <c r="BE30" s="79">
        <f t="shared" si="74"/>
        <v>0.66666666666666663</v>
      </c>
      <c r="BF30" s="79">
        <f t="shared" si="28"/>
        <v>12.4375</v>
      </c>
      <c r="BG30" s="79">
        <f t="shared" si="29"/>
        <v>99.5</v>
      </c>
      <c r="BH30" s="79">
        <f t="shared" si="30"/>
        <v>5.166666666666667</v>
      </c>
      <c r="BI30" s="124">
        <v>2</v>
      </c>
      <c r="BJ30" s="79">
        <f t="shared" si="31"/>
        <v>2</v>
      </c>
      <c r="BK30" s="79">
        <v>2</v>
      </c>
      <c r="BL30" s="119">
        <v>13.5</v>
      </c>
      <c r="BM30" s="79">
        <f t="shared" si="32"/>
        <v>13.5</v>
      </c>
      <c r="BN30" s="79">
        <v>1</v>
      </c>
      <c r="BO30" s="120">
        <v>11</v>
      </c>
      <c r="BP30" s="79">
        <f t="shared" si="33"/>
        <v>11</v>
      </c>
      <c r="BQ30" s="79">
        <f t="shared" si="76"/>
        <v>0.91666666666666663</v>
      </c>
      <c r="BR30" s="79">
        <f t="shared" si="35"/>
        <v>8.8333333333333339</v>
      </c>
      <c r="BS30" s="79">
        <f t="shared" si="36"/>
        <v>26.5</v>
      </c>
      <c r="BT30" s="79">
        <f t="shared" si="37"/>
        <v>3.9166666666666665</v>
      </c>
      <c r="BU30" s="119">
        <v>18</v>
      </c>
      <c r="BV30" s="79">
        <f t="shared" si="38"/>
        <v>18</v>
      </c>
      <c r="BW30" s="79">
        <v>1</v>
      </c>
      <c r="BX30" s="122">
        <v>20</v>
      </c>
      <c r="BY30" s="79">
        <f t="shared" si="39"/>
        <v>20</v>
      </c>
      <c r="BZ30" s="79">
        <v>1</v>
      </c>
      <c r="CA30" s="119">
        <v>18</v>
      </c>
      <c r="CB30" s="79">
        <f t="shared" si="40"/>
        <v>36</v>
      </c>
      <c r="CC30" s="79">
        <v>0.5</v>
      </c>
      <c r="CD30" s="119">
        <v>4.5</v>
      </c>
      <c r="CE30" s="79">
        <f t="shared" si="41"/>
        <v>13.5</v>
      </c>
      <c r="CF30" s="79">
        <f t="shared" si="79"/>
        <v>0.1875</v>
      </c>
      <c r="CG30" s="119">
        <v>14.5</v>
      </c>
      <c r="CH30" s="79">
        <f t="shared" si="43"/>
        <v>29</v>
      </c>
      <c r="CI30" s="79">
        <v>0.5</v>
      </c>
      <c r="CJ30" s="120">
        <v>10</v>
      </c>
      <c r="CK30" s="79">
        <f t="shared" si="44"/>
        <v>30</v>
      </c>
      <c r="CL30" s="79">
        <f t="shared" si="45"/>
        <v>0.41666666666666669</v>
      </c>
      <c r="CM30" s="119">
        <v>13.5</v>
      </c>
      <c r="CN30" s="79">
        <f t="shared" si="46"/>
        <v>13.5</v>
      </c>
      <c r="CO30" s="79">
        <v>1</v>
      </c>
      <c r="CP30" s="119">
        <v>11.5</v>
      </c>
      <c r="CQ30" s="79">
        <f t="shared" si="47"/>
        <v>11.5</v>
      </c>
      <c r="CR30" s="79">
        <f t="shared" si="81"/>
        <v>0.95833333333333337</v>
      </c>
      <c r="CS30" s="79">
        <f t="shared" si="49"/>
        <v>12.25</v>
      </c>
      <c r="CT30" s="79">
        <f t="shared" si="50"/>
        <v>171.5</v>
      </c>
      <c r="CU30" s="79">
        <f t="shared" si="51"/>
        <v>5.5624999999999991</v>
      </c>
      <c r="CV30" s="119">
        <v>17</v>
      </c>
      <c r="CW30" s="79">
        <f t="shared" si="52"/>
        <v>17</v>
      </c>
      <c r="CX30" s="79">
        <v>1</v>
      </c>
      <c r="CY30" s="119">
        <v>15.5</v>
      </c>
      <c r="CZ30" s="79">
        <f t="shared" si="53"/>
        <v>31</v>
      </c>
      <c r="DA30" s="79">
        <v>2</v>
      </c>
      <c r="DB30" s="79">
        <f t="shared" si="54"/>
        <v>16</v>
      </c>
      <c r="DC30" s="79">
        <f t="shared" si="55"/>
        <v>48</v>
      </c>
      <c r="DD30" s="126">
        <f t="shared" si="56"/>
        <v>3</v>
      </c>
      <c r="DE30" s="64">
        <f t="shared" si="93"/>
        <v>13.595238095238095</v>
      </c>
      <c r="DF30" s="64">
        <f t="shared" si="57"/>
        <v>67.976190476190467</v>
      </c>
      <c r="DG30" s="64">
        <v>30</v>
      </c>
    </row>
    <row r="31" spans="1:111" ht="16.5" x14ac:dyDescent="0.55000000000000004">
      <c r="A31" s="132">
        <v>24</v>
      </c>
      <c r="B31" s="133" t="s">
        <v>123</v>
      </c>
      <c r="C31" s="119" t="s">
        <v>124</v>
      </c>
      <c r="D31" s="119">
        <v>13.5</v>
      </c>
      <c r="E31" s="79">
        <f t="shared" si="2"/>
        <v>13.5</v>
      </c>
      <c r="F31" s="79">
        <v>1</v>
      </c>
      <c r="G31" s="119">
        <v>13.5</v>
      </c>
      <c r="H31" s="79">
        <f t="shared" si="4"/>
        <v>13.5</v>
      </c>
      <c r="I31" s="79">
        <v>1</v>
      </c>
      <c r="J31" s="119">
        <v>8</v>
      </c>
      <c r="K31" s="79">
        <f t="shared" si="6"/>
        <v>8</v>
      </c>
      <c r="L31" s="79">
        <f t="shared" si="70"/>
        <v>0.66666666666666663</v>
      </c>
      <c r="M31" s="119">
        <v>19</v>
      </c>
      <c r="N31" s="79">
        <f t="shared" si="7"/>
        <v>19</v>
      </c>
      <c r="O31" s="79">
        <v>1</v>
      </c>
      <c r="P31" s="122">
        <v>18</v>
      </c>
      <c r="Q31" s="79">
        <f t="shared" si="8"/>
        <v>18</v>
      </c>
      <c r="R31" s="79">
        <v>1</v>
      </c>
      <c r="S31" s="79">
        <f t="shared" si="0"/>
        <v>14.4</v>
      </c>
      <c r="T31" s="79">
        <f t="shared" si="9"/>
        <v>72</v>
      </c>
      <c r="U31" s="79">
        <f t="shared" si="10"/>
        <v>4.6666666666666661</v>
      </c>
      <c r="V31" s="119">
        <v>16.5</v>
      </c>
      <c r="W31" s="79">
        <f t="shared" si="11"/>
        <v>33</v>
      </c>
      <c r="X31" s="79">
        <v>1</v>
      </c>
      <c r="Y31" s="122">
        <v>18</v>
      </c>
      <c r="Z31" s="79">
        <f t="shared" si="12"/>
        <v>36</v>
      </c>
      <c r="AA31" s="79">
        <v>1</v>
      </c>
      <c r="AB31" s="119">
        <v>14.5</v>
      </c>
      <c r="AC31" s="79">
        <f t="shared" si="13"/>
        <v>43.5</v>
      </c>
      <c r="AD31" s="79">
        <v>2</v>
      </c>
      <c r="AE31" s="119">
        <v>18</v>
      </c>
      <c r="AF31" s="79">
        <f t="shared" si="14"/>
        <v>18</v>
      </c>
      <c r="AG31" s="79">
        <v>1</v>
      </c>
      <c r="AH31" s="119">
        <v>9.5</v>
      </c>
      <c r="AI31" s="79">
        <f t="shared" si="15"/>
        <v>9.5</v>
      </c>
      <c r="AJ31" s="79">
        <f t="shared" si="16"/>
        <v>0.79166666666666663</v>
      </c>
      <c r="AK31" s="79">
        <f t="shared" si="17"/>
        <v>15.555555555555555</v>
      </c>
      <c r="AL31" s="79">
        <f t="shared" si="18"/>
        <v>140</v>
      </c>
      <c r="AM31" s="79">
        <f t="shared" si="61"/>
        <v>5.791666666666667</v>
      </c>
      <c r="AN31" s="119">
        <v>10</v>
      </c>
      <c r="AO31" s="79">
        <f t="shared" si="19"/>
        <v>10</v>
      </c>
      <c r="AP31" s="79">
        <f t="shared" si="20"/>
        <v>0.83333333333333337</v>
      </c>
      <c r="AQ31" s="119">
        <v>16</v>
      </c>
      <c r="AR31" s="79">
        <f t="shared" si="21"/>
        <v>16</v>
      </c>
      <c r="AS31" s="79">
        <v>1</v>
      </c>
      <c r="AT31" s="119">
        <v>1</v>
      </c>
      <c r="AU31" s="79">
        <f t="shared" si="22"/>
        <v>1</v>
      </c>
      <c r="AV31" s="79">
        <f t="shared" si="62"/>
        <v>8.3333333333333329E-2</v>
      </c>
      <c r="AW31" s="119">
        <v>9.5</v>
      </c>
      <c r="AX31" s="79">
        <f t="shared" si="23"/>
        <v>19</v>
      </c>
      <c r="AY31" s="79">
        <f t="shared" si="72"/>
        <v>0.79166666666666663</v>
      </c>
      <c r="AZ31" s="119">
        <v>13</v>
      </c>
      <c r="BA31" s="79">
        <f t="shared" si="24"/>
        <v>26</v>
      </c>
      <c r="BB31" s="79">
        <v>1</v>
      </c>
      <c r="BC31" s="119">
        <v>10</v>
      </c>
      <c r="BD31" s="79">
        <f t="shared" si="26"/>
        <v>10</v>
      </c>
      <c r="BE31" s="79">
        <f t="shared" si="74"/>
        <v>0.83333333333333337</v>
      </c>
      <c r="BF31" s="79">
        <f t="shared" si="28"/>
        <v>10.25</v>
      </c>
      <c r="BG31" s="79">
        <f t="shared" si="29"/>
        <v>82</v>
      </c>
      <c r="BH31" s="79">
        <f t="shared" si="30"/>
        <v>4.541666666666667</v>
      </c>
      <c r="BI31" s="124">
        <v>8.5</v>
      </c>
      <c r="BJ31" s="79">
        <f t="shared" si="31"/>
        <v>8.5</v>
      </c>
      <c r="BK31" s="79">
        <v>2</v>
      </c>
      <c r="BL31" s="119">
        <v>16</v>
      </c>
      <c r="BM31" s="79">
        <f t="shared" si="32"/>
        <v>16</v>
      </c>
      <c r="BN31" s="79">
        <v>1</v>
      </c>
      <c r="BO31" s="120">
        <v>10</v>
      </c>
      <c r="BP31" s="79">
        <f t="shared" si="33"/>
        <v>10</v>
      </c>
      <c r="BQ31" s="79">
        <f t="shared" si="76"/>
        <v>0.83333333333333337</v>
      </c>
      <c r="BR31" s="79">
        <f t="shared" si="35"/>
        <v>11.5</v>
      </c>
      <c r="BS31" s="79">
        <f t="shared" si="36"/>
        <v>34.5</v>
      </c>
      <c r="BT31" s="79">
        <f t="shared" si="37"/>
        <v>3.8333333333333335</v>
      </c>
      <c r="BU31" s="119">
        <v>13.75</v>
      </c>
      <c r="BV31" s="79">
        <f t="shared" si="38"/>
        <v>13.75</v>
      </c>
      <c r="BW31" s="79">
        <v>1</v>
      </c>
      <c r="BX31" s="122">
        <v>11</v>
      </c>
      <c r="BY31" s="79">
        <f t="shared" si="39"/>
        <v>11</v>
      </c>
      <c r="BZ31" s="79">
        <f t="shared" si="91"/>
        <v>0.91666666666666663</v>
      </c>
      <c r="CA31" s="119">
        <v>9</v>
      </c>
      <c r="CB31" s="79">
        <f t="shared" si="40"/>
        <v>18</v>
      </c>
      <c r="CC31" s="79">
        <f t="shared" si="78"/>
        <v>0.375</v>
      </c>
      <c r="CD31" s="119">
        <v>13.25</v>
      </c>
      <c r="CE31" s="79">
        <f t="shared" si="41"/>
        <v>39.75</v>
      </c>
      <c r="CF31" s="79">
        <v>0.5</v>
      </c>
      <c r="CG31" s="119">
        <v>9.5</v>
      </c>
      <c r="CH31" s="79">
        <f t="shared" si="43"/>
        <v>19</v>
      </c>
      <c r="CI31" s="79">
        <f t="shared" si="80"/>
        <v>0.39583333333333331</v>
      </c>
      <c r="CJ31" s="120">
        <v>13</v>
      </c>
      <c r="CK31" s="79">
        <f t="shared" si="44"/>
        <v>39</v>
      </c>
      <c r="CL31" s="79">
        <f t="shared" si="45"/>
        <v>0.54166666666666663</v>
      </c>
      <c r="CM31" s="119">
        <v>2</v>
      </c>
      <c r="CN31" s="79">
        <f t="shared" si="46"/>
        <v>2</v>
      </c>
      <c r="CO31" s="79">
        <f t="shared" si="88"/>
        <v>0.16666666666666666</v>
      </c>
      <c r="CP31" s="119">
        <v>12.5</v>
      </c>
      <c r="CQ31" s="79">
        <f t="shared" si="47"/>
        <v>12.5</v>
      </c>
      <c r="CR31" s="79">
        <f t="shared" si="81"/>
        <v>1.0416666666666667</v>
      </c>
      <c r="CS31" s="79">
        <f t="shared" si="49"/>
        <v>11.071428571428571</v>
      </c>
      <c r="CT31" s="79">
        <f t="shared" si="50"/>
        <v>155</v>
      </c>
      <c r="CU31" s="79">
        <f t="shared" si="51"/>
        <v>4.9375</v>
      </c>
      <c r="CV31" s="119">
        <v>16</v>
      </c>
      <c r="CW31" s="79">
        <f t="shared" si="52"/>
        <v>16</v>
      </c>
      <c r="CX31" s="79">
        <v>1</v>
      </c>
      <c r="CY31" s="119">
        <v>11</v>
      </c>
      <c r="CZ31" s="79">
        <f t="shared" si="53"/>
        <v>22</v>
      </c>
      <c r="DA31" s="79">
        <v>2</v>
      </c>
      <c r="DB31" s="79">
        <f t="shared" si="54"/>
        <v>12.666666666666666</v>
      </c>
      <c r="DC31" s="79">
        <f t="shared" si="55"/>
        <v>38</v>
      </c>
      <c r="DD31" s="126">
        <f t="shared" si="56"/>
        <v>3</v>
      </c>
      <c r="DE31" s="64">
        <f t="shared" si="93"/>
        <v>12.416666666666666</v>
      </c>
      <c r="DF31" s="64">
        <f t="shared" si="57"/>
        <v>62.083333333333329</v>
      </c>
      <c r="DG31" s="64">
        <v>30</v>
      </c>
    </row>
    <row r="32" spans="1:111" ht="16.5" x14ac:dyDescent="0.55000000000000004">
      <c r="A32" s="134">
        <v>25</v>
      </c>
      <c r="B32" s="135" t="s">
        <v>125</v>
      </c>
      <c r="C32" s="119" t="s">
        <v>124</v>
      </c>
      <c r="D32" s="119">
        <v>12</v>
      </c>
      <c r="E32" s="79">
        <f t="shared" si="2"/>
        <v>12</v>
      </c>
      <c r="F32" s="79">
        <f t="shared" si="69"/>
        <v>1</v>
      </c>
      <c r="G32" s="119">
        <v>15.25</v>
      </c>
      <c r="H32" s="79">
        <f t="shared" si="4"/>
        <v>15.25</v>
      </c>
      <c r="I32" s="79">
        <v>1</v>
      </c>
      <c r="J32" s="119">
        <v>7</v>
      </c>
      <c r="K32" s="79">
        <f t="shared" si="6"/>
        <v>7</v>
      </c>
      <c r="L32" s="79">
        <f t="shared" si="70"/>
        <v>0.58333333333333337</v>
      </c>
      <c r="M32" s="119">
        <v>14</v>
      </c>
      <c r="N32" s="79">
        <f t="shared" si="7"/>
        <v>14</v>
      </c>
      <c r="O32" s="79">
        <v>1</v>
      </c>
      <c r="P32" s="122">
        <v>18</v>
      </c>
      <c r="Q32" s="79">
        <f t="shared" si="8"/>
        <v>18</v>
      </c>
      <c r="R32" s="79">
        <v>1</v>
      </c>
      <c r="S32" s="79">
        <f t="shared" si="0"/>
        <v>13.25</v>
      </c>
      <c r="T32" s="79">
        <f t="shared" si="9"/>
        <v>66.25</v>
      </c>
      <c r="U32" s="79">
        <f t="shared" si="10"/>
        <v>4.5833333333333339</v>
      </c>
      <c r="V32" s="119">
        <v>15.5</v>
      </c>
      <c r="W32" s="79">
        <f t="shared" si="11"/>
        <v>31</v>
      </c>
      <c r="X32" s="79">
        <v>1</v>
      </c>
      <c r="Y32" s="122">
        <v>18</v>
      </c>
      <c r="Z32" s="79">
        <f t="shared" si="12"/>
        <v>36</v>
      </c>
      <c r="AA32" s="79">
        <v>1</v>
      </c>
      <c r="AB32" s="119">
        <v>13.5</v>
      </c>
      <c r="AC32" s="79">
        <f t="shared" si="13"/>
        <v>40.5</v>
      </c>
      <c r="AD32" s="79">
        <v>2</v>
      </c>
      <c r="AE32" s="119">
        <v>14</v>
      </c>
      <c r="AF32" s="79">
        <f t="shared" si="14"/>
        <v>14</v>
      </c>
      <c r="AG32" s="79">
        <v>1</v>
      </c>
      <c r="AH32" s="119">
        <v>15.5</v>
      </c>
      <c r="AI32" s="79">
        <f t="shared" si="15"/>
        <v>15.5</v>
      </c>
      <c r="AJ32" s="79">
        <v>1</v>
      </c>
      <c r="AK32" s="79">
        <f t="shared" si="17"/>
        <v>15.222222222222221</v>
      </c>
      <c r="AL32" s="79">
        <f t="shared" si="18"/>
        <v>137</v>
      </c>
      <c r="AM32" s="79">
        <f t="shared" si="61"/>
        <v>6</v>
      </c>
      <c r="AN32" s="136">
        <v>6.5</v>
      </c>
      <c r="AO32" s="79">
        <f t="shared" si="19"/>
        <v>6.5</v>
      </c>
      <c r="AP32" s="79">
        <f t="shared" si="20"/>
        <v>0.54166666666666663</v>
      </c>
      <c r="AQ32" s="119">
        <v>10</v>
      </c>
      <c r="AR32" s="79">
        <f t="shared" si="21"/>
        <v>10</v>
      </c>
      <c r="AS32" s="79">
        <f t="shared" si="85"/>
        <v>0.83333333333333337</v>
      </c>
      <c r="AT32" s="136">
        <v>8.5</v>
      </c>
      <c r="AU32" s="79">
        <f t="shared" si="22"/>
        <v>8.5</v>
      </c>
      <c r="AV32" s="79">
        <f t="shared" si="62"/>
        <v>0.70833333333333337</v>
      </c>
      <c r="AW32" s="136">
        <v>11</v>
      </c>
      <c r="AX32" s="79">
        <f t="shared" si="23"/>
        <v>22</v>
      </c>
      <c r="AY32" s="79">
        <f t="shared" si="72"/>
        <v>0.91666666666666663</v>
      </c>
      <c r="AZ32" s="136">
        <v>10</v>
      </c>
      <c r="BA32" s="79">
        <f t="shared" si="24"/>
        <v>20</v>
      </c>
      <c r="BB32" s="79">
        <f t="shared" si="73"/>
        <v>0.83333333333333337</v>
      </c>
      <c r="BC32" s="136">
        <v>16</v>
      </c>
      <c r="BD32" s="79">
        <f t="shared" si="26"/>
        <v>16</v>
      </c>
      <c r="BE32" s="79">
        <f t="shared" si="74"/>
        <v>1.3333333333333333</v>
      </c>
      <c r="BF32" s="79">
        <f t="shared" si="28"/>
        <v>10.375</v>
      </c>
      <c r="BG32" s="79">
        <f t="shared" si="29"/>
        <v>83</v>
      </c>
      <c r="BH32" s="79">
        <f t="shared" si="30"/>
        <v>5.166666666666667</v>
      </c>
      <c r="BI32" s="124">
        <v>9</v>
      </c>
      <c r="BJ32" s="79">
        <f t="shared" si="31"/>
        <v>9</v>
      </c>
      <c r="BK32" s="79">
        <f t="shared" si="75"/>
        <v>1.5</v>
      </c>
      <c r="BL32" s="119">
        <v>12</v>
      </c>
      <c r="BM32" s="79">
        <f t="shared" si="32"/>
        <v>12</v>
      </c>
      <c r="BN32" s="79">
        <f t="shared" si="86"/>
        <v>1</v>
      </c>
      <c r="BO32" s="120">
        <v>2</v>
      </c>
      <c r="BP32" s="79">
        <f t="shared" si="33"/>
        <v>2</v>
      </c>
      <c r="BQ32" s="79">
        <f t="shared" si="76"/>
        <v>0.16666666666666666</v>
      </c>
      <c r="BR32" s="79">
        <f t="shared" si="35"/>
        <v>7.666666666666667</v>
      </c>
      <c r="BS32" s="79">
        <f t="shared" si="36"/>
        <v>23</v>
      </c>
      <c r="BT32" s="79">
        <f t="shared" si="37"/>
        <v>2.6666666666666665</v>
      </c>
      <c r="BU32" s="119">
        <v>0</v>
      </c>
      <c r="BV32" s="79">
        <f t="shared" si="38"/>
        <v>0</v>
      </c>
      <c r="BW32" s="79">
        <f t="shared" si="77"/>
        <v>0</v>
      </c>
      <c r="BX32" s="122">
        <v>14</v>
      </c>
      <c r="BY32" s="79">
        <f t="shared" si="39"/>
        <v>14</v>
      </c>
      <c r="BZ32" s="79">
        <v>1</v>
      </c>
      <c r="CA32" s="119">
        <v>7.5</v>
      </c>
      <c r="CB32" s="79">
        <f t="shared" si="40"/>
        <v>15</v>
      </c>
      <c r="CC32" s="79">
        <f t="shared" si="78"/>
        <v>0.3125</v>
      </c>
      <c r="CD32" s="119">
        <v>14.5</v>
      </c>
      <c r="CE32" s="79">
        <f t="shared" si="41"/>
        <v>43.5</v>
      </c>
      <c r="CF32" s="79">
        <v>0.5</v>
      </c>
      <c r="CG32" s="119">
        <v>11.5</v>
      </c>
      <c r="CH32" s="79">
        <f t="shared" si="43"/>
        <v>23</v>
      </c>
      <c r="CI32" s="79">
        <f t="shared" si="80"/>
        <v>0.47916666666666669</v>
      </c>
      <c r="CJ32" s="120">
        <v>7</v>
      </c>
      <c r="CK32" s="79">
        <f t="shared" si="44"/>
        <v>21</v>
      </c>
      <c r="CL32" s="79">
        <f t="shared" si="45"/>
        <v>0.29166666666666669</v>
      </c>
      <c r="CM32" s="136">
        <v>16</v>
      </c>
      <c r="CN32" s="79">
        <f t="shared" si="46"/>
        <v>16</v>
      </c>
      <c r="CO32" s="79">
        <f t="shared" si="88"/>
        <v>1.3333333333333333</v>
      </c>
      <c r="CP32" s="119">
        <v>11.5</v>
      </c>
      <c r="CQ32" s="79">
        <f t="shared" si="47"/>
        <v>11.5</v>
      </c>
      <c r="CR32" s="79">
        <f t="shared" si="81"/>
        <v>0.95833333333333337</v>
      </c>
      <c r="CS32" s="79">
        <f t="shared" si="49"/>
        <v>10.285714285714286</v>
      </c>
      <c r="CT32" s="79">
        <f t="shared" si="50"/>
        <v>144</v>
      </c>
      <c r="CU32" s="79">
        <f t="shared" si="51"/>
        <v>4.8749999999999991</v>
      </c>
      <c r="CV32" s="119">
        <v>14</v>
      </c>
      <c r="CW32" s="79">
        <f t="shared" si="52"/>
        <v>14</v>
      </c>
      <c r="CX32" s="79">
        <v>1</v>
      </c>
      <c r="CY32" s="119">
        <v>0</v>
      </c>
      <c r="CZ32" s="79">
        <f t="shared" si="53"/>
        <v>0</v>
      </c>
      <c r="DA32" s="79">
        <f t="shared" si="87"/>
        <v>0</v>
      </c>
      <c r="DB32" s="79">
        <f t="shared" si="54"/>
        <v>4.666666666666667</v>
      </c>
      <c r="DC32" s="79">
        <f t="shared" si="55"/>
        <v>14</v>
      </c>
      <c r="DD32" s="126">
        <f t="shared" si="56"/>
        <v>1</v>
      </c>
      <c r="DE32" s="64">
        <f t="shared" si="93"/>
        <v>11.125</v>
      </c>
      <c r="DF32" s="64">
        <f t="shared" si="57"/>
        <v>55.625</v>
      </c>
      <c r="DG32" s="64">
        <f t="shared" si="82"/>
        <v>24.291666666666668</v>
      </c>
    </row>
    <row r="33" spans="1:111" ht="16.5" x14ac:dyDescent="0.55000000000000004">
      <c r="A33" s="134">
        <v>26</v>
      </c>
      <c r="B33" s="135" t="s">
        <v>126</v>
      </c>
      <c r="C33" s="119" t="s">
        <v>127</v>
      </c>
      <c r="D33" s="119">
        <v>18</v>
      </c>
      <c r="E33" s="79">
        <f t="shared" si="2"/>
        <v>18</v>
      </c>
      <c r="F33" s="79">
        <f t="shared" si="69"/>
        <v>1.5</v>
      </c>
      <c r="G33" s="119">
        <v>0</v>
      </c>
      <c r="H33" s="79">
        <f t="shared" si="4"/>
        <v>0</v>
      </c>
      <c r="I33" s="79">
        <f t="shared" si="83"/>
        <v>0</v>
      </c>
      <c r="J33" s="136">
        <v>13.5</v>
      </c>
      <c r="K33" s="79">
        <f t="shared" si="6"/>
        <v>13.5</v>
      </c>
      <c r="L33" s="79">
        <f t="shared" si="70"/>
        <v>1.125</v>
      </c>
      <c r="M33" s="119">
        <v>0</v>
      </c>
      <c r="N33" s="79">
        <f t="shared" si="7"/>
        <v>0</v>
      </c>
      <c r="O33" s="79">
        <f t="shared" si="84"/>
        <v>0</v>
      </c>
      <c r="P33" s="122">
        <v>17</v>
      </c>
      <c r="Q33" s="79">
        <f t="shared" si="8"/>
        <v>17</v>
      </c>
      <c r="R33" s="79">
        <v>1</v>
      </c>
      <c r="S33" s="79">
        <f t="shared" si="0"/>
        <v>9.6999999999999993</v>
      </c>
      <c r="T33" s="79">
        <f t="shared" si="9"/>
        <v>48.5</v>
      </c>
      <c r="U33" s="79">
        <f t="shared" si="10"/>
        <v>3.625</v>
      </c>
      <c r="V33" s="119">
        <v>12.5</v>
      </c>
      <c r="W33" s="79">
        <f t="shared" si="11"/>
        <v>25</v>
      </c>
      <c r="X33" s="79">
        <f t="shared" si="89"/>
        <v>1.0416666666666667</v>
      </c>
      <c r="Y33" s="122">
        <v>12.5</v>
      </c>
      <c r="Z33" s="79">
        <f t="shared" si="12"/>
        <v>25</v>
      </c>
      <c r="AA33" s="79">
        <f t="shared" si="90"/>
        <v>1.0416666666666667</v>
      </c>
      <c r="AB33" s="119">
        <v>16.5</v>
      </c>
      <c r="AC33" s="79">
        <f t="shared" si="13"/>
        <v>49.5</v>
      </c>
      <c r="AD33" s="79">
        <v>2</v>
      </c>
      <c r="AE33" s="119">
        <v>0</v>
      </c>
      <c r="AF33" s="79">
        <f t="shared" si="14"/>
        <v>0</v>
      </c>
      <c r="AG33" s="79">
        <f t="shared" si="71"/>
        <v>0</v>
      </c>
      <c r="AH33" s="119">
        <v>17</v>
      </c>
      <c r="AI33" s="79">
        <f t="shared" si="15"/>
        <v>17</v>
      </c>
      <c r="AJ33" s="79">
        <v>1</v>
      </c>
      <c r="AK33" s="79">
        <f t="shared" si="17"/>
        <v>12.944444444444445</v>
      </c>
      <c r="AL33" s="79">
        <f t="shared" si="18"/>
        <v>116.5</v>
      </c>
      <c r="AM33" s="79">
        <f t="shared" si="61"/>
        <v>5.0833333333333339</v>
      </c>
      <c r="AN33" s="136">
        <v>10</v>
      </c>
      <c r="AO33" s="79">
        <f t="shared" si="19"/>
        <v>10</v>
      </c>
      <c r="AP33" s="79">
        <f t="shared" si="20"/>
        <v>0.83333333333333337</v>
      </c>
      <c r="AQ33" s="119">
        <v>20</v>
      </c>
      <c r="AR33" s="79">
        <f t="shared" si="21"/>
        <v>20</v>
      </c>
      <c r="AS33" s="79">
        <f t="shared" si="85"/>
        <v>1.6666666666666667</v>
      </c>
      <c r="AT33" s="136">
        <v>19</v>
      </c>
      <c r="AU33" s="79">
        <f t="shared" si="22"/>
        <v>19</v>
      </c>
      <c r="AV33" s="79">
        <f t="shared" si="62"/>
        <v>1.5833333333333333</v>
      </c>
      <c r="AW33" s="136">
        <v>14</v>
      </c>
      <c r="AX33" s="79">
        <f t="shared" si="23"/>
        <v>28</v>
      </c>
      <c r="AY33" s="79">
        <f t="shared" si="72"/>
        <v>1.1666666666666667</v>
      </c>
      <c r="AZ33" s="119">
        <v>13.75</v>
      </c>
      <c r="BA33" s="79">
        <f t="shared" si="24"/>
        <v>27.5</v>
      </c>
      <c r="BB33" s="79">
        <v>1</v>
      </c>
      <c r="BC33" s="119">
        <v>18</v>
      </c>
      <c r="BD33" s="79">
        <f t="shared" si="26"/>
        <v>18</v>
      </c>
      <c r="BE33" s="79">
        <v>1</v>
      </c>
      <c r="BF33" s="79">
        <f t="shared" si="28"/>
        <v>15.3125</v>
      </c>
      <c r="BG33" s="79">
        <f t="shared" si="29"/>
        <v>122.5</v>
      </c>
      <c r="BH33" s="79">
        <f t="shared" si="30"/>
        <v>7.25</v>
      </c>
      <c r="BI33" s="137"/>
      <c r="BJ33" s="79">
        <f t="shared" si="31"/>
        <v>0</v>
      </c>
      <c r="BK33" s="79">
        <v>2</v>
      </c>
      <c r="BL33" s="119">
        <v>0</v>
      </c>
      <c r="BM33" s="79">
        <f t="shared" si="32"/>
        <v>0</v>
      </c>
      <c r="BN33" s="79">
        <f t="shared" si="86"/>
        <v>0</v>
      </c>
      <c r="BO33" s="127">
        <v>16</v>
      </c>
      <c r="BP33" s="138">
        <v>16</v>
      </c>
      <c r="BQ33" s="79">
        <f t="shared" si="76"/>
        <v>1.3333333333333333</v>
      </c>
      <c r="BR33" s="79">
        <f t="shared" si="35"/>
        <v>5.333333333333333</v>
      </c>
      <c r="BS33" s="79">
        <f t="shared" si="36"/>
        <v>16</v>
      </c>
      <c r="BT33" s="79">
        <f t="shared" si="37"/>
        <v>3.333333333333333</v>
      </c>
      <c r="BU33" s="136">
        <v>10</v>
      </c>
      <c r="BV33" s="79">
        <f t="shared" si="38"/>
        <v>10</v>
      </c>
      <c r="BW33" s="79">
        <f t="shared" si="77"/>
        <v>0.83333333333333337</v>
      </c>
      <c r="BX33" s="139">
        <v>14</v>
      </c>
      <c r="BY33" s="79">
        <f t="shared" si="39"/>
        <v>14</v>
      </c>
      <c r="BZ33" s="79">
        <f t="shared" si="91"/>
        <v>1.1666666666666667</v>
      </c>
      <c r="CA33" s="119">
        <v>13.5</v>
      </c>
      <c r="CB33" s="79">
        <f t="shared" si="40"/>
        <v>27</v>
      </c>
      <c r="CC33" s="79">
        <v>0.5</v>
      </c>
      <c r="CD33" s="119">
        <v>14.75</v>
      </c>
      <c r="CE33" s="79">
        <f t="shared" si="41"/>
        <v>44.25</v>
      </c>
      <c r="CF33" s="79">
        <v>0.5</v>
      </c>
      <c r="CG33" s="136">
        <v>18.5</v>
      </c>
      <c r="CH33" s="79">
        <f t="shared" si="43"/>
        <v>37</v>
      </c>
      <c r="CI33" s="79">
        <f t="shared" si="80"/>
        <v>0.77083333333333337</v>
      </c>
      <c r="CJ33" s="120">
        <v>4</v>
      </c>
      <c r="CK33" s="79">
        <f t="shared" si="44"/>
        <v>12</v>
      </c>
      <c r="CL33" s="79">
        <f t="shared" si="45"/>
        <v>0.16666666666666666</v>
      </c>
      <c r="CM33" s="119">
        <v>14</v>
      </c>
      <c r="CN33" s="79">
        <f t="shared" si="46"/>
        <v>14</v>
      </c>
      <c r="CO33" s="79">
        <f t="shared" si="88"/>
        <v>1.1666666666666667</v>
      </c>
      <c r="CP33" s="119">
        <v>0</v>
      </c>
      <c r="CQ33" s="79">
        <f t="shared" si="47"/>
        <v>0</v>
      </c>
      <c r="CR33" s="79">
        <f t="shared" si="81"/>
        <v>0</v>
      </c>
      <c r="CS33" s="79">
        <f t="shared" si="49"/>
        <v>11.303571428571429</v>
      </c>
      <c r="CT33" s="79">
        <f t="shared" si="50"/>
        <v>158.25</v>
      </c>
      <c r="CU33" s="79">
        <f t="shared" si="51"/>
        <v>5.104166666666667</v>
      </c>
      <c r="CV33" s="119">
        <v>18</v>
      </c>
      <c r="CW33" s="79">
        <f t="shared" si="52"/>
        <v>18</v>
      </c>
      <c r="CX33" s="79">
        <v>1</v>
      </c>
      <c r="CY33" s="119">
        <v>0</v>
      </c>
      <c r="CZ33" s="79">
        <f t="shared" si="53"/>
        <v>0</v>
      </c>
      <c r="DA33" s="79">
        <f t="shared" si="87"/>
        <v>0</v>
      </c>
      <c r="DB33" s="79">
        <f t="shared" si="54"/>
        <v>6</v>
      </c>
      <c r="DC33" s="79">
        <f t="shared" si="55"/>
        <v>18</v>
      </c>
      <c r="DD33" s="126">
        <f t="shared" si="56"/>
        <v>1</v>
      </c>
      <c r="DE33" s="64">
        <f t="shared" si="93"/>
        <v>11.422619047619047</v>
      </c>
      <c r="DF33" s="64">
        <f t="shared" si="57"/>
        <v>57.113095238095241</v>
      </c>
      <c r="DG33" s="64">
        <f t="shared" si="82"/>
        <v>25.395833333333336</v>
      </c>
    </row>
    <row r="34" spans="1:111" ht="16.5" x14ac:dyDescent="0.55000000000000004">
      <c r="A34" s="134">
        <v>27</v>
      </c>
      <c r="B34" s="135" t="s">
        <v>128</v>
      </c>
      <c r="C34" s="119" t="s">
        <v>129</v>
      </c>
      <c r="D34" s="119">
        <v>15</v>
      </c>
      <c r="E34" s="79">
        <f t="shared" si="2"/>
        <v>15</v>
      </c>
      <c r="F34" s="79">
        <v>1</v>
      </c>
      <c r="G34" s="119">
        <v>19</v>
      </c>
      <c r="H34" s="79">
        <f t="shared" si="4"/>
        <v>19</v>
      </c>
      <c r="I34" s="79">
        <v>1</v>
      </c>
      <c r="J34" s="119">
        <v>14</v>
      </c>
      <c r="K34" s="79">
        <f t="shared" si="6"/>
        <v>14</v>
      </c>
      <c r="L34" s="79">
        <v>1</v>
      </c>
      <c r="M34" s="119">
        <v>19</v>
      </c>
      <c r="N34" s="79">
        <f t="shared" si="7"/>
        <v>19</v>
      </c>
      <c r="O34" s="79">
        <v>1</v>
      </c>
      <c r="P34" s="122">
        <v>18</v>
      </c>
      <c r="Q34" s="79">
        <f t="shared" si="8"/>
        <v>18</v>
      </c>
      <c r="R34" s="79">
        <v>1</v>
      </c>
      <c r="S34" s="79">
        <f t="shared" si="0"/>
        <v>17</v>
      </c>
      <c r="T34" s="79">
        <f t="shared" si="9"/>
        <v>85</v>
      </c>
      <c r="U34" s="79">
        <f t="shared" si="10"/>
        <v>5</v>
      </c>
      <c r="V34" s="119">
        <v>19</v>
      </c>
      <c r="W34" s="79">
        <f t="shared" si="11"/>
        <v>38</v>
      </c>
      <c r="X34" s="79">
        <v>1</v>
      </c>
      <c r="Y34" s="122">
        <v>19</v>
      </c>
      <c r="Z34" s="79">
        <f t="shared" si="12"/>
        <v>38</v>
      </c>
      <c r="AA34" s="79">
        <v>1</v>
      </c>
      <c r="AB34" s="119">
        <v>17</v>
      </c>
      <c r="AC34" s="79">
        <f t="shared" si="13"/>
        <v>51</v>
      </c>
      <c r="AD34" s="79">
        <v>2</v>
      </c>
      <c r="AE34" s="119">
        <v>19</v>
      </c>
      <c r="AF34" s="79">
        <f t="shared" si="14"/>
        <v>19</v>
      </c>
      <c r="AG34" s="79">
        <v>1</v>
      </c>
      <c r="AH34" s="119">
        <v>14</v>
      </c>
      <c r="AI34" s="79">
        <f t="shared" si="15"/>
        <v>14</v>
      </c>
      <c r="AJ34" s="79">
        <v>1</v>
      </c>
      <c r="AK34" s="79">
        <f t="shared" si="17"/>
        <v>17.777777777777779</v>
      </c>
      <c r="AL34" s="79">
        <f t="shared" si="18"/>
        <v>160</v>
      </c>
      <c r="AM34" s="79">
        <f t="shared" si="61"/>
        <v>6</v>
      </c>
      <c r="AN34" s="119">
        <v>14</v>
      </c>
      <c r="AO34" s="79">
        <f t="shared" si="19"/>
        <v>14</v>
      </c>
      <c r="AP34" s="79">
        <v>1</v>
      </c>
      <c r="AQ34" s="119">
        <v>19</v>
      </c>
      <c r="AR34" s="79">
        <f t="shared" si="21"/>
        <v>19</v>
      </c>
      <c r="AS34" s="79">
        <v>1</v>
      </c>
      <c r="AT34" s="119">
        <v>10</v>
      </c>
      <c r="AU34" s="79">
        <f t="shared" si="22"/>
        <v>10</v>
      </c>
      <c r="AV34" s="79">
        <f t="shared" si="62"/>
        <v>0.83333333333333337</v>
      </c>
      <c r="AW34" s="119">
        <v>7.25</v>
      </c>
      <c r="AX34" s="79">
        <f t="shared" si="23"/>
        <v>14.5</v>
      </c>
      <c r="AY34" s="79">
        <f t="shared" si="72"/>
        <v>0.60416666666666663</v>
      </c>
      <c r="AZ34" s="119">
        <v>14</v>
      </c>
      <c r="BA34" s="79">
        <f t="shared" si="24"/>
        <v>28</v>
      </c>
      <c r="BB34" s="79">
        <v>1</v>
      </c>
      <c r="BC34" s="119">
        <v>13.5</v>
      </c>
      <c r="BD34" s="79">
        <f t="shared" si="26"/>
        <v>13.5</v>
      </c>
      <c r="BE34" s="79">
        <v>1</v>
      </c>
      <c r="BF34" s="79">
        <f t="shared" si="28"/>
        <v>12.375</v>
      </c>
      <c r="BG34" s="79">
        <f t="shared" si="29"/>
        <v>99</v>
      </c>
      <c r="BH34" s="79">
        <f t="shared" si="30"/>
        <v>5.4375</v>
      </c>
      <c r="BI34" s="124">
        <v>9</v>
      </c>
      <c r="BJ34" s="79">
        <f t="shared" si="31"/>
        <v>9</v>
      </c>
      <c r="BK34" s="79">
        <v>2</v>
      </c>
      <c r="BL34" s="119">
        <v>12</v>
      </c>
      <c r="BM34" s="79">
        <f t="shared" si="32"/>
        <v>12</v>
      </c>
      <c r="BN34" s="79">
        <f t="shared" si="86"/>
        <v>1</v>
      </c>
      <c r="BO34" s="120">
        <v>8.5</v>
      </c>
      <c r="BP34" s="79">
        <f t="shared" si="33"/>
        <v>8.5</v>
      </c>
      <c r="BQ34" s="79">
        <f t="shared" si="76"/>
        <v>0.70833333333333337</v>
      </c>
      <c r="BR34" s="79">
        <f t="shared" si="35"/>
        <v>9.8333333333333339</v>
      </c>
      <c r="BS34" s="79">
        <f t="shared" si="36"/>
        <v>29.5</v>
      </c>
      <c r="BT34" s="79">
        <f t="shared" si="37"/>
        <v>3.7083333333333335</v>
      </c>
      <c r="BU34" s="119">
        <v>19</v>
      </c>
      <c r="BV34" s="79">
        <f t="shared" si="38"/>
        <v>19</v>
      </c>
      <c r="BW34" s="79">
        <v>1</v>
      </c>
      <c r="BX34" s="124">
        <v>20</v>
      </c>
      <c r="BY34" s="79">
        <f t="shared" si="39"/>
        <v>20</v>
      </c>
      <c r="BZ34" s="79">
        <v>1</v>
      </c>
      <c r="CA34" s="119">
        <v>12.5</v>
      </c>
      <c r="CB34" s="79">
        <f t="shared" si="40"/>
        <v>25</v>
      </c>
      <c r="CC34" s="79">
        <f t="shared" si="78"/>
        <v>0.52083333333333337</v>
      </c>
      <c r="CD34" s="119">
        <v>13.5</v>
      </c>
      <c r="CE34" s="79">
        <f t="shared" si="41"/>
        <v>40.5</v>
      </c>
      <c r="CF34" s="79">
        <v>0.5</v>
      </c>
      <c r="CG34" s="140">
        <v>11.5</v>
      </c>
      <c r="CH34" s="79">
        <f t="shared" si="43"/>
        <v>23</v>
      </c>
      <c r="CI34" s="79">
        <f t="shared" si="80"/>
        <v>0.47916666666666669</v>
      </c>
      <c r="CJ34" s="120">
        <v>8</v>
      </c>
      <c r="CK34" s="79">
        <f t="shared" si="44"/>
        <v>24</v>
      </c>
      <c r="CL34" s="79">
        <f t="shared" si="45"/>
        <v>0.33333333333333331</v>
      </c>
      <c r="CM34" s="119">
        <v>14.5</v>
      </c>
      <c r="CN34" s="79">
        <f t="shared" si="46"/>
        <v>14.5</v>
      </c>
      <c r="CO34" s="79">
        <v>1</v>
      </c>
      <c r="CP34" s="119">
        <v>20</v>
      </c>
      <c r="CQ34" s="79">
        <f t="shared" si="47"/>
        <v>20</v>
      </c>
      <c r="CR34" s="79">
        <v>1</v>
      </c>
      <c r="CS34" s="79">
        <f t="shared" si="49"/>
        <v>13.285714285714286</v>
      </c>
      <c r="CT34" s="79">
        <f t="shared" si="50"/>
        <v>186</v>
      </c>
      <c r="CU34" s="79">
        <f t="shared" si="51"/>
        <v>5.8333333333333339</v>
      </c>
      <c r="CV34" s="119">
        <v>12</v>
      </c>
      <c r="CW34" s="79">
        <f t="shared" si="52"/>
        <v>12</v>
      </c>
      <c r="CX34" s="79">
        <f t="shared" si="92"/>
        <v>1</v>
      </c>
      <c r="CY34" s="119">
        <v>18</v>
      </c>
      <c r="CZ34" s="79">
        <f t="shared" si="53"/>
        <v>36</v>
      </c>
      <c r="DA34" s="79">
        <v>2</v>
      </c>
      <c r="DB34" s="79">
        <f t="shared" si="54"/>
        <v>16</v>
      </c>
      <c r="DC34" s="79">
        <f t="shared" si="55"/>
        <v>48</v>
      </c>
      <c r="DD34" s="126">
        <f t="shared" si="56"/>
        <v>3</v>
      </c>
      <c r="DE34" s="64">
        <f t="shared" si="93"/>
        <v>14.464285714285714</v>
      </c>
      <c r="DF34" s="64">
        <f t="shared" si="57"/>
        <v>72.321428571428569</v>
      </c>
      <c r="DG34" s="64">
        <v>30</v>
      </c>
    </row>
    <row r="35" spans="1:111" ht="16.5" x14ac:dyDescent="0.55000000000000004">
      <c r="A35" s="134">
        <v>28</v>
      </c>
      <c r="B35" s="135" t="s">
        <v>110</v>
      </c>
      <c r="C35" s="119" t="s">
        <v>130</v>
      </c>
      <c r="D35" s="119">
        <v>14.5</v>
      </c>
      <c r="E35" s="79">
        <f t="shared" si="2"/>
        <v>14.5</v>
      </c>
      <c r="F35" s="79">
        <v>1</v>
      </c>
      <c r="G35" s="119">
        <v>17</v>
      </c>
      <c r="H35" s="79">
        <f t="shared" si="4"/>
        <v>17</v>
      </c>
      <c r="I35" s="79">
        <v>1</v>
      </c>
      <c r="J35" s="119">
        <v>14</v>
      </c>
      <c r="K35" s="79">
        <f t="shared" si="6"/>
        <v>14</v>
      </c>
      <c r="L35" s="79">
        <v>1</v>
      </c>
      <c r="M35" s="119">
        <v>20</v>
      </c>
      <c r="N35" s="79">
        <f t="shared" si="7"/>
        <v>20</v>
      </c>
      <c r="O35" s="79">
        <v>1</v>
      </c>
      <c r="P35" s="122">
        <v>16</v>
      </c>
      <c r="Q35" s="79">
        <f t="shared" si="8"/>
        <v>16</v>
      </c>
      <c r="R35" s="79">
        <v>1</v>
      </c>
      <c r="S35" s="79">
        <f t="shared" si="0"/>
        <v>16.3</v>
      </c>
      <c r="T35" s="79">
        <f t="shared" si="9"/>
        <v>81.5</v>
      </c>
      <c r="U35" s="79">
        <f t="shared" si="10"/>
        <v>5</v>
      </c>
      <c r="V35" s="119">
        <v>15.5</v>
      </c>
      <c r="W35" s="79">
        <f t="shared" si="11"/>
        <v>31</v>
      </c>
      <c r="X35" s="79">
        <v>1</v>
      </c>
      <c r="Y35" s="122">
        <v>16</v>
      </c>
      <c r="Z35" s="79">
        <f t="shared" si="12"/>
        <v>32</v>
      </c>
      <c r="AA35" s="79">
        <v>1</v>
      </c>
      <c r="AB35" s="119">
        <v>16</v>
      </c>
      <c r="AC35" s="79">
        <f t="shared" si="13"/>
        <v>48</v>
      </c>
      <c r="AD35" s="79">
        <v>2</v>
      </c>
      <c r="AE35" s="119">
        <v>16</v>
      </c>
      <c r="AF35" s="79">
        <f t="shared" si="14"/>
        <v>16</v>
      </c>
      <c r="AG35" s="79">
        <v>1</v>
      </c>
      <c r="AH35" s="119">
        <v>12.5</v>
      </c>
      <c r="AI35" s="79">
        <f t="shared" si="15"/>
        <v>12.5</v>
      </c>
      <c r="AJ35" s="79">
        <f t="shared" si="16"/>
        <v>1.0416666666666667</v>
      </c>
      <c r="AK35" s="79">
        <f t="shared" si="17"/>
        <v>15.5</v>
      </c>
      <c r="AL35" s="79">
        <f t="shared" si="18"/>
        <v>139.5</v>
      </c>
      <c r="AM35" s="79">
        <f t="shared" si="61"/>
        <v>6.041666666666667</v>
      </c>
      <c r="AN35" s="119">
        <v>9</v>
      </c>
      <c r="AO35" s="79">
        <f t="shared" si="19"/>
        <v>9</v>
      </c>
      <c r="AP35" s="79">
        <f t="shared" si="20"/>
        <v>0.75</v>
      </c>
      <c r="AQ35" s="119">
        <v>16</v>
      </c>
      <c r="AR35" s="79">
        <f t="shared" si="21"/>
        <v>16</v>
      </c>
      <c r="AS35" s="79">
        <v>1</v>
      </c>
      <c r="AT35" s="119">
        <v>14.5</v>
      </c>
      <c r="AU35" s="79">
        <f t="shared" si="22"/>
        <v>14.5</v>
      </c>
      <c r="AV35" s="79">
        <v>1</v>
      </c>
      <c r="AW35" s="119">
        <v>11.5</v>
      </c>
      <c r="AX35" s="79">
        <f t="shared" si="23"/>
        <v>23</v>
      </c>
      <c r="AY35" s="79">
        <f t="shared" si="72"/>
        <v>0.95833333333333337</v>
      </c>
      <c r="AZ35" s="119">
        <v>11.25</v>
      </c>
      <c r="BA35" s="79">
        <f t="shared" si="24"/>
        <v>22.5</v>
      </c>
      <c r="BB35" s="79">
        <f t="shared" si="73"/>
        <v>0.9375</v>
      </c>
      <c r="BC35" s="119">
        <v>6</v>
      </c>
      <c r="BD35" s="79">
        <f t="shared" si="26"/>
        <v>6</v>
      </c>
      <c r="BE35" s="79">
        <f t="shared" si="74"/>
        <v>0.5</v>
      </c>
      <c r="BF35" s="79">
        <f t="shared" si="28"/>
        <v>11.375</v>
      </c>
      <c r="BG35" s="79">
        <f t="shared" si="29"/>
        <v>91</v>
      </c>
      <c r="BH35" s="79">
        <f t="shared" si="30"/>
        <v>5.1458333333333339</v>
      </c>
      <c r="BI35" s="124">
        <v>5</v>
      </c>
      <c r="BJ35" s="79">
        <f t="shared" si="31"/>
        <v>5</v>
      </c>
      <c r="BK35" s="79">
        <v>2</v>
      </c>
      <c r="BL35" s="119">
        <v>16.5</v>
      </c>
      <c r="BM35" s="79">
        <f t="shared" si="32"/>
        <v>16.5</v>
      </c>
      <c r="BN35" s="79">
        <v>1</v>
      </c>
      <c r="BO35" s="120">
        <v>6</v>
      </c>
      <c r="BP35" s="79">
        <f t="shared" si="33"/>
        <v>6</v>
      </c>
      <c r="BQ35" s="79">
        <f t="shared" si="76"/>
        <v>0.5</v>
      </c>
      <c r="BR35" s="79">
        <f t="shared" si="35"/>
        <v>9.1666666666666661</v>
      </c>
      <c r="BS35" s="79">
        <f t="shared" si="36"/>
        <v>27.5</v>
      </c>
      <c r="BT35" s="79">
        <f t="shared" si="37"/>
        <v>3.5</v>
      </c>
      <c r="BU35" s="119">
        <v>15</v>
      </c>
      <c r="BV35" s="79">
        <f t="shared" si="38"/>
        <v>15</v>
      </c>
      <c r="BW35" s="79">
        <f t="shared" si="77"/>
        <v>1.25</v>
      </c>
      <c r="BX35" s="124">
        <v>17</v>
      </c>
      <c r="BY35" s="79">
        <f t="shared" si="39"/>
        <v>17</v>
      </c>
      <c r="BZ35" s="79">
        <v>1</v>
      </c>
      <c r="CA35" s="119">
        <v>14</v>
      </c>
      <c r="CB35" s="79">
        <f t="shared" si="40"/>
        <v>28</v>
      </c>
      <c r="CC35" s="79">
        <v>0.5</v>
      </c>
      <c r="CD35" s="119">
        <v>14</v>
      </c>
      <c r="CE35" s="79">
        <f t="shared" si="41"/>
        <v>42</v>
      </c>
      <c r="CF35" s="79">
        <v>0.5</v>
      </c>
      <c r="CG35" s="140">
        <v>10</v>
      </c>
      <c r="CH35" s="79">
        <f t="shared" si="43"/>
        <v>20</v>
      </c>
      <c r="CI35" s="79">
        <f t="shared" si="80"/>
        <v>0.41666666666666669</v>
      </c>
      <c r="CJ35" s="120">
        <v>13.5</v>
      </c>
      <c r="CK35" s="79">
        <f t="shared" si="44"/>
        <v>40.5</v>
      </c>
      <c r="CL35" s="79">
        <v>0.5</v>
      </c>
      <c r="CM35" s="119">
        <v>7</v>
      </c>
      <c r="CN35" s="79">
        <f t="shared" si="46"/>
        <v>7</v>
      </c>
      <c r="CO35" s="79">
        <f t="shared" si="88"/>
        <v>0.58333333333333337</v>
      </c>
      <c r="CP35" s="119">
        <v>12</v>
      </c>
      <c r="CQ35" s="79">
        <f t="shared" si="47"/>
        <v>12</v>
      </c>
      <c r="CR35" s="79">
        <f t="shared" si="81"/>
        <v>1</v>
      </c>
      <c r="CS35" s="79">
        <f t="shared" si="49"/>
        <v>12.964285714285714</v>
      </c>
      <c r="CT35" s="79">
        <f t="shared" si="50"/>
        <v>181.5</v>
      </c>
      <c r="CU35" s="79">
        <f t="shared" si="51"/>
        <v>5.7499999999999991</v>
      </c>
      <c r="CV35" s="119">
        <v>17</v>
      </c>
      <c r="CW35" s="79">
        <f t="shared" si="52"/>
        <v>17</v>
      </c>
      <c r="CX35" s="79">
        <v>1</v>
      </c>
      <c r="CY35" s="119">
        <v>16</v>
      </c>
      <c r="CZ35" s="79">
        <f t="shared" si="53"/>
        <v>32</v>
      </c>
      <c r="DA35" s="79">
        <v>2</v>
      </c>
      <c r="DB35" s="79">
        <f t="shared" si="54"/>
        <v>16.333333333333332</v>
      </c>
      <c r="DC35" s="79">
        <f t="shared" si="55"/>
        <v>49</v>
      </c>
      <c r="DD35" s="126">
        <f t="shared" si="56"/>
        <v>3</v>
      </c>
      <c r="DE35" s="64">
        <f t="shared" si="93"/>
        <v>13.571428571428571</v>
      </c>
      <c r="DF35" s="64">
        <f t="shared" si="57"/>
        <v>67.857142857142861</v>
      </c>
      <c r="DG35" s="64">
        <v>30</v>
      </c>
    </row>
    <row r="36" spans="1:111" ht="16.5" x14ac:dyDescent="0.55000000000000004">
      <c r="A36" s="134">
        <v>29</v>
      </c>
      <c r="B36" s="135" t="s">
        <v>131</v>
      </c>
      <c r="C36" s="119" t="s">
        <v>132</v>
      </c>
      <c r="D36" s="119">
        <v>8</v>
      </c>
      <c r="E36" s="79">
        <f t="shared" si="2"/>
        <v>8</v>
      </c>
      <c r="F36" s="79">
        <f t="shared" si="69"/>
        <v>0.66666666666666663</v>
      </c>
      <c r="G36" s="119">
        <v>11.25</v>
      </c>
      <c r="H36" s="79">
        <f t="shared" si="4"/>
        <v>11.25</v>
      </c>
      <c r="I36" s="79">
        <v>1</v>
      </c>
      <c r="J36" s="119">
        <v>12</v>
      </c>
      <c r="K36" s="79">
        <f t="shared" si="6"/>
        <v>12</v>
      </c>
      <c r="L36" s="79">
        <f t="shared" si="70"/>
        <v>1</v>
      </c>
      <c r="M36" s="119">
        <v>13</v>
      </c>
      <c r="N36" s="79">
        <f t="shared" si="7"/>
        <v>13</v>
      </c>
      <c r="O36" s="79">
        <v>1</v>
      </c>
      <c r="P36" s="122">
        <v>18</v>
      </c>
      <c r="Q36" s="79">
        <f t="shared" si="8"/>
        <v>18</v>
      </c>
      <c r="R36" s="79">
        <v>1</v>
      </c>
      <c r="S36" s="79">
        <f t="shared" si="0"/>
        <v>12.45</v>
      </c>
      <c r="T36" s="79">
        <f t="shared" si="9"/>
        <v>62.25</v>
      </c>
      <c r="U36" s="79">
        <f t="shared" si="10"/>
        <v>4.6666666666666661</v>
      </c>
      <c r="V36" s="119">
        <v>16.5</v>
      </c>
      <c r="W36" s="79">
        <f t="shared" si="11"/>
        <v>33</v>
      </c>
      <c r="X36" s="79">
        <v>1</v>
      </c>
      <c r="Y36" s="122">
        <v>18</v>
      </c>
      <c r="Z36" s="79">
        <f t="shared" si="12"/>
        <v>36</v>
      </c>
      <c r="AA36" s="79">
        <v>1</v>
      </c>
      <c r="AB36" s="119">
        <v>14</v>
      </c>
      <c r="AC36" s="79">
        <f t="shared" si="13"/>
        <v>42</v>
      </c>
      <c r="AD36" s="79">
        <v>2</v>
      </c>
      <c r="AE36" s="119">
        <v>0</v>
      </c>
      <c r="AF36" s="79">
        <f t="shared" si="14"/>
        <v>0</v>
      </c>
      <c r="AG36" s="79">
        <f t="shared" si="71"/>
        <v>0</v>
      </c>
      <c r="AH36" s="119">
        <v>10</v>
      </c>
      <c r="AI36" s="79">
        <f t="shared" si="15"/>
        <v>10</v>
      </c>
      <c r="AJ36" s="79">
        <f t="shared" si="16"/>
        <v>0.83333333333333337</v>
      </c>
      <c r="AK36" s="79">
        <f t="shared" si="17"/>
        <v>13.444444444444445</v>
      </c>
      <c r="AL36" s="79">
        <f t="shared" si="18"/>
        <v>121</v>
      </c>
      <c r="AM36" s="79">
        <f t="shared" si="61"/>
        <v>4.833333333333333</v>
      </c>
      <c r="AN36" s="119">
        <v>3.5</v>
      </c>
      <c r="AO36" s="79">
        <f t="shared" si="19"/>
        <v>3.5</v>
      </c>
      <c r="AP36" s="79">
        <f t="shared" si="20"/>
        <v>0.29166666666666669</v>
      </c>
      <c r="AQ36" s="119">
        <v>15.5</v>
      </c>
      <c r="AR36" s="79">
        <f t="shared" si="21"/>
        <v>15.5</v>
      </c>
      <c r="AS36" s="79">
        <v>1</v>
      </c>
      <c r="AT36" s="119">
        <v>4</v>
      </c>
      <c r="AU36" s="79">
        <f t="shared" si="22"/>
        <v>4</v>
      </c>
      <c r="AV36" s="79">
        <f t="shared" si="62"/>
        <v>0.33333333333333331</v>
      </c>
      <c r="AW36" s="119">
        <v>12.5</v>
      </c>
      <c r="AX36" s="79">
        <f t="shared" si="23"/>
        <v>25</v>
      </c>
      <c r="AY36" s="79">
        <f t="shared" si="72"/>
        <v>1.0416666666666667</v>
      </c>
      <c r="AZ36" s="119">
        <v>11.25</v>
      </c>
      <c r="BA36" s="79">
        <f t="shared" si="24"/>
        <v>22.5</v>
      </c>
      <c r="BB36" s="79">
        <f t="shared" si="73"/>
        <v>0.9375</v>
      </c>
      <c r="BC36" s="119">
        <v>10</v>
      </c>
      <c r="BD36" s="79">
        <f t="shared" si="26"/>
        <v>10</v>
      </c>
      <c r="BE36" s="79">
        <f t="shared" si="74"/>
        <v>0.83333333333333337</v>
      </c>
      <c r="BF36" s="79">
        <f t="shared" si="28"/>
        <v>10.0625</v>
      </c>
      <c r="BG36" s="79">
        <f t="shared" si="29"/>
        <v>80.5</v>
      </c>
      <c r="BH36" s="79">
        <f t="shared" si="30"/>
        <v>4.4375</v>
      </c>
      <c r="BI36" s="124">
        <v>2</v>
      </c>
      <c r="BJ36" s="79">
        <f t="shared" si="31"/>
        <v>2</v>
      </c>
      <c r="BK36" s="79">
        <f t="shared" si="75"/>
        <v>0.33333333333333331</v>
      </c>
      <c r="BL36" s="119">
        <v>13</v>
      </c>
      <c r="BM36" s="79">
        <f t="shared" si="32"/>
        <v>13</v>
      </c>
      <c r="BN36" s="79">
        <v>1</v>
      </c>
      <c r="BO36" s="120">
        <v>8</v>
      </c>
      <c r="BP36" s="79">
        <f t="shared" si="33"/>
        <v>8</v>
      </c>
      <c r="BQ36" s="79">
        <f t="shared" si="76"/>
        <v>0.66666666666666663</v>
      </c>
      <c r="BR36" s="79">
        <f t="shared" si="35"/>
        <v>7.666666666666667</v>
      </c>
      <c r="BS36" s="79">
        <f t="shared" si="36"/>
        <v>23</v>
      </c>
      <c r="BT36" s="79">
        <f t="shared" si="37"/>
        <v>2</v>
      </c>
      <c r="BU36" s="119">
        <v>1</v>
      </c>
      <c r="BV36" s="79">
        <f t="shared" si="38"/>
        <v>1</v>
      </c>
      <c r="BW36" s="79">
        <f t="shared" si="77"/>
        <v>8.3333333333333329E-2</v>
      </c>
      <c r="BX36" s="124">
        <v>10</v>
      </c>
      <c r="BY36" s="79">
        <f t="shared" si="39"/>
        <v>10</v>
      </c>
      <c r="BZ36" s="79">
        <f t="shared" si="91"/>
        <v>0.83333333333333337</v>
      </c>
      <c r="CA36" s="119">
        <v>8</v>
      </c>
      <c r="CB36" s="79">
        <f t="shared" si="40"/>
        <v>16</v>
      </c>
      <c r="CC36" s="79">
        <f t="shared" si="78"/>
        <v>0.33333333333333331</v>
      </c>
      <c r="CD36" s="119">
        <v>12.5</v>
      </c>
      <c r="CE36" s="79">
        <f t="shared" si="41"/>
        <v>37.5</v>
      </c>
      <c r="CF36" s="79">
        <f t="shared" si="79"/>
        <v>0.52083333333333337</v>
      </c>
      <c r="CG36" s="119">
        <v>12.5</v>
      </c>
      <c r="CH36" s="79">
        <f t="shared" si="43"/>
        <v>25</v>
      </c>
      <c r="CI36" s="79">
        <f t="shared" si="80"/>
        <v>0.52083333333333337</v>
      </c>
      <c r="CJ36" s="120">
        <v>13</v>
      </c>
      <c r="CK36" s="79">
        <f t="shared" si="44"/>
        <v>39</v>
      </c>
      <c r="CL36" s="79">
        <f t="shared" si="45"/>
        <v>0.54166666666666663</v>
      </c>
      <c r="CM36" s="119">
        <v>7</v>
      </c>
      <c r="CN36" s="79">
        <f t="shared" si="46"/>
        <v>7</v>
      </c>
      <c r="CO36" s="79">
        <f t="shared" si="88"/>
        <v>0.58333333333333337</v>
      </c>
      <c r="CP36" s="119">
        <v>11.5</v>
      </c>
      <c r="CQ36" s="79">
        <f t="shared" si="47"/>
        <v>11.5</v>
      </c>
      <c r="CR36" s="79">
        <f t="shared" si="81"/>
        <v>0.95833333333333337</v>
      </c>
      <c r="CS36" s="79">
        <f t="shared" si="49"/>
        <v>10.5</v>
      </c>
      <c r="CT36" s="79">
        <f t="shared" si="50"/>
        <v>147</v>
      </c>
      <c r="CU36" s="79">
        <f t="shared" si="51"/>
        <v>4.375</v>
      </c>
      <c r="CV36" s="119">
        <v>16</v>
      </c>
      <c r="CW36" s="79">
        <f t="shared" si="52"/>
        <v>16</v>
      </c>
      <c r="CX36" s="79">
        <v>1</v>
      </c>
      <c r="CY36" s="119">
        <v>18</v>
      </c>
      <c r="CZ36" s="79">
        <f t="shared" si="53"/>
        <v>36</v>
      </c>
      <c r="DA36" s="79">
        <v>2</v>
      </c>
      <c r="DB36" s="79">
        <f t="shared" si="54"/>
        <v>17.333333333333332</v>
      </c>
      <c r="DC36" s="79">
        <f t="shared" si="55"/>
        <v>52</v>
      </c>
      <c r="DD36" s="126">
        <f t="shared" si="56"/>
        <v>3</v>
      </c>
      <c r="DE36" s="64">
        <f t="shared" si="93"/>
        <v>11.56547619047619</v>
      </c>
      <c r="DF36" s="64">
        <f t="shared" si="57"/>
        <v>57.827380952380949</v>
      </c>
      <c r="DG36" s="64">
        <f t="shared" si="82"/>
        <v>23.3125</v>
      </c>
    </row>
    <row r="37" spans="1:111" x14ac:dyDescent="0.35">
      <c r="A37" s="141">
        <v>31</v>
      </c>
      <c r="B37" s="142"/>
      <c r="C37" s="143"/>
      <c r="D37" s="79">
        <v>0</v>
      </c>
      <c r="E37" s="144">
        <f t="shared" si="2"/>
        <v>0</v>
      </c>
      <c r="F37" s="79">
        <f t="shared" si="69"/>
        <v>0</v>
      </c>
      <c r="G37" s="64">
        <v>0</v>
      </c>
      <c r="H37" s="144">
        <f t="shared" si="4"/>
        <v>0</v>
      </c>
      <c r="I37" s="79">
        <f t="shared" si="83"/>
        <v>0</v>
      </c>
      <c r="J37" s="145">
        <v>0</v>
      </c>
      <c r="K37" s="144">
        <f t="shared" si="6"/>
        <v>0</v>
      </c>
      <c r="L37" s="79">
        <f t="shared" si="70"/>
        <v>0</v>
      </c>
      <c r="M37" s="146">
        <v>0</v>
      </c>
      <c r="N37" s="144">
        <f t="shared" si="7"/>
        <v>0</v>
      </c>
      <c r="O37" s="79">
        <f t="shared" si="84"/>
        <v>0</v>
      </c>
      <c r="P37" s="147">
        <v>0</v>
      </c>
      <c r="Q37" s="79">
        <f t="shared" si="8"/>
        <v>0</v>
      </c>
      <c r="R37" s="79">
        <f t="shared" ref="R37" si="95">(P37*1)/12</f>
        <v>0</v>
      </c>
      <c r="S37" s="148">
        <f t="shared" si="0"/>
        <v>0</v>
      </c>
      <c r="T37" s="144">
        <f t="shared" si="9"/>
        <v>0</v>
      </c>
      <c r="U37" s="144">
        <f t="shared" si="10"/>
        <v>0</v>
      </c>
      <c r="V37" s="145">
        <v>0</v>
      </c>
      <c r="W37" s="144">
        <f t="shared" si="11"/>
        <v>0</v>
      </c>
      <c r="X37" s="149">
        <f t="shared" si="89"/>
        <v>0</v>
      </c>
      <c r="Y37" s="145">
        <v>0</v>
      </c>
      <c r="Z37" s="144">
        <f t="shared" si="12"/>
        <v>0</v>
      </c>
      <c r="AA37" s="149">
        <f t="shared" si="90"/>
        <v>0</v>
      </c>
      <c r="AB37" s="150">
        <v>0</v>
      </c>
      <c r="AC37" s="144">
        <f t="shared" si="13"/>
        <v>0</v>
      </c>
      <c r="AD37" s="149">
        <f t="shared" si="94"/>
        <v>0</v>
      </c>
      <c r="AE37" s="148">
        <v>0</v>
      </c>
      <c r="AF37" s="144">
        <f t="shared" si="14"/>
        <v>0</v>
      </c>
      <c r="AG37" s="149">
        <f t="shared" si="71"/>
        <v>0</v>
      </c>
      <c r="AH37" s="148">
        <v>0</v>
      </c>
      <c r="AI37" s="144">
        <f t="shared" si="15"/>
        <v>0</v>
      </c>
      <c r="AJ37" s="149">
        <f t="shared" si="16"/>
        <v>0</v>
      </c>
      <c r="AK37" s="148">
        <f t="shared" si="17"/>
        <v>0</v>
      </c>
      <c r="AL37" s="144">
        <f t="shared" si="18"/>
        <v>0</v>
      </c>
      <c r="AM37" s="144">
        <f t="shared" si="61"/>
        <v>0</v>
      </c>
      <c r="AN37" s="145">
        <v>0</v>
      </c>
      <c r="AO37" s="144">
        <f t="shared" si="19"/>
        <v>0</v>
      </c>
      <c r="AP37" s="149">
        <f t="shared" si="20"/>
        <v>0</v>
      </c>
      <c r="AQ37" s="145">
        <v>0</v>
      </c>
      <c r="AR37" s="144">
        <f t="shared" si="21"/>
        <v>0</v>
      </c>
      <c r="AS37" s="149">
        <f t="shared" si="85"/>
        <v>0</v>
      </c>
      <c r="AT37" s="145">
        <v>0</v>
      </c>
      <c r="AU37" s="144">
        <f t="shared" si="22"/>
        <v>0</v>
      </c>
      <c r="AV37" s="149">
        <f t="shared" si="62"/>
        <v>0</v>
      </c>
      <c r="AW37" s="145">
        <v>0</v>
      </c>
      <c r="AX37" s="144">
        <f t="shared" si="23"/>
        <v>0</v>
      </c>
      <c r="AY37" s="149">
        <f t="shared" si="72"/>
        <v>0</v>
      </c>
      <c r="AZ37" s="145">
        <v>0</v>
      </c>
      <c r="BA37" s="144">
        <f t="shared" si="24"/>
        <v>0</v>
      </c>
      <c r="BB37" s="149">
        <f t="shared" si="73"/>
        <v>0</v>
      </c>
      <c r="BC37" s="145">
        <v>0</v>
      </c>
      <c r="BD37" s="144">
        <f t="shared" si="26"/>
        <v>0</v>
      </c>
      <c r="BE37" s="149">
        <f t="shared" si="74"/>
        <v>0</v>
      </c>
      <c r="BF37" s="144">
        <f t="shared" si="28"/>
        <v>0</v>
      </c>
      <c r="BG37" s="144">
        <f t="shared" si="29"/>
        <v>0</v>
      </c>
      <c r="BH37" s="144">
        <f t="shared" si="30"/>
        <v>0</v>
      </c>
      <c r="BI37" s="145">
        <v>0</v>
      </c>
      <c r="BJ37" s="144">
        <f t="shared" si="31"/>
        <v>0</v>
      </c>
      <c r="BK37" s="149">
        <f t="shared" si="75"/>
        <v>0</v>
      </c>
      <c r="BL37" s="145">
        <v>0</v>
      </c>
      <c r="BM37" s="144">
        <f t="shared" si="32"/>
        <v>0</v>
      </c>
      <c r="BN37" s="149">
        <f t="shared" si="86"/>
        <v>0</v>
      </c>
      <c r="BO37" s="120">
        <v>0</v>
      </c>
      <c r="BP37" s="144">
        <f t="shared" si="33"/>
        <v>0</v>
      </c>
      <c r="BQ37" s="149">
        <f t="shared" si="76"/>
        <v>0</v>
      </c>
      <c r="BR37" s="144">
        <f t="shared" si="35"/>
        <v>0</v>
      </c>
      <c r="BS37" s="144">
        <f t="shared" si="36"/>
        <v>0</v>
      </c>
      <c r="BT37" s="144">
        <f t="shared" si="37"/>
        <v>0</v>
      </c>
      <c r="BU37" s="145">
        <v>0</v>
      </c>
      <c r="BV37" s="144">
        <f t="shared" si="38"/>
        <v>0</v>
      </c>
      <c r="BW37" s="149">
        <f t="shared" si="77"/>
        <v>0</v>
      </c>
      <c r="BX37" s="145">
        <v>0</v>
      </c>
      <c r="BY37" s="144">
        <f t="shared" si="39"/>
        <v>0</v>
      </c>
      <c r="BZ37" s="149">
        <f t="shared" si="91"/>
        <v>0</v>
      </c>
      <c r="CA37" s="145">
        <v>0</v>
      </c>
      <c r="CB37" s="144">
        <f t="shared" si="40"/>
        <v>0</v>
      </c>
      <c r="CC37" s="149">
        <f t="shared" si="78"/>
        <v>0</v>
      </c>
      <c r="CD37" s="145">
        <v>0</v>
      </c>
      <c r="CE37" s="144">
        <f t="shared" si="41"/>
        <v>0</v>
      </c>
      <c r="CF37" s="149">
        <f t="shared" si="79"/>
        <v>0</v>
      </c>
      <c r="CG37" s="145">
        <v>0</v>
      </c>
      <c r="CH37" s="144">
        <f t="shared" si="43"/>
        <v>0</v>
      </c>
      <c r="CI37" s="149">
        <f t="shared" si="80"/>
        <v>0</v>
      </c>
      <c r="CJ37" s="146">
        <v>0</v>
      </c>
      <c r="CK37" s="144">
        <f t="shared" si="44"/>
        <v>0</v>
      </c>
      <c r="CL37" s="79">
        <f t="shared" si="45"/>
        <v>0</v>
      </c>
      <c r="CM37" s="146">
        <v>0</v>
      </c>
      <c r="CN37" s="144">
        <f t="shared" si="46"/>
        <v>0</v>
      </c>
      <c r="CO37" s="79">
        <f t="shared" si="88"/>
        <v>0</v>
      </c>
      <c r="CP37" s="146">
        <v>0</v>
      </c>
      <c r="CQ37" s="144">
        <f t="shared" si="47"/>
        <v>0</v>
      </c>
      <c r="CR37" s="79">
        <f t="shared" si="81"/>
        <v>0</v>
      </c>
      <c r="CS37" s="144">
        <f t="shared" si="49"/>
        <v>0</v>
      </c>
      <c r="CT37" s="144">
        <f t="shared" si="50"/>
        <v>0</v>
      </c>
      <c r="CU37" s="144">
        <f t="shared" si="51"/>
        <v>0</v>
      </c>
      <c r="CV37" s="146">
        <v>0</v>
      </c>
      <c r="CW37" s="79">
        <f t="shared" si="52"/>
        <v>0</v>
      </c>
      <c r="CX37" s="79">
        <f t="shared" si="92"/>
        <v>0</v>
      </c>
      <c r="CY37" s="146">
        <v>0</v>
      </c>
      <c r="CZ37" s="79">
        <f t="shared" si="53"/>
        <v>0</v>
      </c>
      <c r="DA37" s="79">
        <f t="shared" si="87"/>
        <v>0</v>
      </c>
      <c r="DB37" s="144">
        <f t="shared" si="54"/>
        <v>0</v>
      </c>
      <c r="DC37" s="144">
        <f t="shared" si="55"/>
        <v>0</v>
      </c>
      <c r="DD37" s="151">
        <f t="shared" si="56"/>
        <v>0</v>
      </c>
      <c r="DE37" s="152">
        <f t="shared" si="93"/>
        <v>0</v>
      </c>
      <c r="DF37" s="152">
        <f t="shared" si="57"/>
        <v>0</v>
      </c>
      <c r="DG37" s="152">
        <f t="shared" si="82"/>
        <v>0</v>
      </c>
    </row>
  </sheetData>
  <mergeCells count="120">
    <mergeCell ref="A1:U1"/>
    <mergeCell ref="A2:U2"/>
    <mergeCell ref="A3:C3"/>
    <mergeCell ref="D3:U3"/>
    <mergeCell ref="V3:AM3"/>
    <mergeCell ref="S4:U4"/>
    <mergeCell ref="V4:X4"/>
    <mergeCell ref="Y4:AA4"/>
    <mergeCell ref="AB4:AD4"/>
    <mergeCell ref="AN3:BH3"/>
    <mergeCell ref="BI3:BT3"/>
    <mergeCell ref="BU3:CU3"/>
    <mergeCell ref="CV3:DD3"/>
    <mergeCell ref="A4:C4"/>
    <mergeCell ref="D4:F4"/>
    <mergeCell ref="G4:I4"/>
    <mergeCell ref="J4:L4"/>
    <mergeCell ref="M4:O4"/>
    <mergeCell ref="P4:R4"/>
    <mergeCell ref="A5:C5"/>
    <mergeCell ref="D5:F5"/>
    <mergeCell ref="G5:I5"/>
    <mergeCell ref="J5:L5"/>
    <mergeCell ref="M5:O5"/>
    <mergeCell ref="P5:R5"/>
    <mergeCell ref="S5:U5"/>
    <mergeCell ref="CG4:CI4"/>
    <mergeCell ref="CJ4:CL4"/>
    <mergeCell ref="BO4:BQ4"/>
    <mergeCell ref="BR4:BT4"/>
    <mergeCell ref="BU4:BW4"/>
    <mergeCell ref="BX4:BZ4"/>
    <mergeCell ref="CA4:CC4"/>
    <mergeCell ref="CD4:CF4"/>
    <mergeCell ref="AW4:AY4"/>
    <mergeCell ref="AZ4:BB4"/>
    <mergeCell ref="BC4:BE4"/>
    <mergeCell ref="BF4:BH4"/>
    <mergeCell ref="BI4:BK4"/>
    <mergeCell ref="BL4:BN4"/>
    <mergeCell ref="AE4:AG4"/>
    <mergeCell ref="AH4:AJ4"/>
    <mergeCell ref="AK4:AM4"/>
    <mergeCell ref="V5:X5"/>
    <mergeCell ref="Y5:AA5"/>
    <mergeCell ref="AB5:AD5"/>
    <mergeCell ref="AE5:AG5"/>
    <mergeCell ref="AH5:AJ5"/>
    <mergeCell ref="AK5:AM5"/>
    <mergeCell ref="CY4:DA4"/>
    <mergeCell ref="DB4:DD4"/>
    <mergeCell ref="DE4:DG4"/>
    <mergeCell ref="CM4:CO4"/>
    <mergeCell ref="CP4:CR4"/>
    <mergeCell ref="CS4:CU4"/>
    <mergeCell ref="CV4:CX4"/>
    <mergeCell ref="AN4:AP4"/>
    <mergeCell ref="AQ4:AS4"/>
    <mergeCell ref="AT4:AV4"/>
    <mergeCell ref="BF5:BH5"/>
    <mergeCell ref="BI5:BK5"/>
    <mergeCell ref="BL5:BN5"/>
    <mergeCell ref="BO5:BQ5"/>
    <mergeCell ref="BR5:BT5"/>
    <mergeCell ref="BU5:BW5"/>
    <mergeCell ref="AN5:AP5"/>
    <mergeCell ref="AQ5:AS5"/>
    <mergeCell ref="AT5:AV5"/>
    <mergeCell ref="AW5:AY5"/>
    <mergeCell ref="AZ5:BB5"/>
    <mergeCell ref="BC5:BE5"/>
    <mergeCell ref="CP5:CR5"/>
    <mergeCell ref="CS5:CU5"/>
    <mergeCell ref="CV5:CX5"/>
    <mergeCell ref="CY5:DA5"/>
    <mergeCell ref="DB5:DD5"/>
    <mergeCell ref="DE5:DG5"/>
    <mergeCell ref="BX5:BZ5"/>
    <mergeCell ref="CA5:CC5"/>
    <mergeCell ref="CD5:CF5"/>
    <mergeCell ref="CG5:CI5"/>
    <mergeCell ref="CJ5:CL5"/>
    <mergeCell ref="CM5:CO5"/>
    <mergeCell ref="S6:U6"/>
    <mergeCell ref="V6:X6"/>
    <mergeCell ref="Y6:AA6"/>
    <mergeCell ref="AB6:AD6"/>
    <mergeCell ref="AE6:AG6"/>
    <mergeCell ref="AH6:AJ6"/>
    <mergeCell ref="A6:C6"/>
    <mergeCell ref="D6:F6"/>
    <mergeCell ref="G6:I6"/>
    <mergeCell ref="J6:L6"/>
    <mergeCell ref="M6:O6"/>
    <mergeCell ref="P6:R6"/>
    <mergeCell ref="BC6:BE6"/>
    <mergeCell ref="BF6:BH6"/>
    <mergeCell ref="BI6:BK6"/>
    <mergeCell ref="BL6:BN6"/>
    <mergeCell ref="BO6:BQ6"/>
    <mergeCell ref="BR6:BT6"/>
    <mergeCell ref="AK6:AM6"/>
    <mergeCell ref="AN6:AP6"/>
    <mergeCell ref="AQ6:AS6"/>
    <mergeCell ref="AT6:AV6"/>
    <mergeCell ref="AW6:AY6"/>
    <mergeCell ref="AZ6:BB6"/>
    <mergeCell ref="DE6:DG6"/>
    <mergeCell ref="CM6:CO6"/>
    <mergeCell ref="CP6:CR6"/>
    <mergeCell ref="CS6:CU6"/>
    <mergeCell ref="CV6:CX6"/>
    <mergeCell ref="CY6:DA6"/>
    <mergeCell ref="DB6:DD6"/>
    <mergeCell ref="BU6:BW6"/>
    <mergeCell ref="BX6:BZ6"/>
    <mergeCell ref="CA6:CC6"/>
    <mergeCell ref="CD6:CF6"/>
    <mergeCell ref="CG6:CI6"/>
    <mergeCell ref="CJ6:CL6"/>
  </mergeCells>
  <conditionalFormatting sqref="D12 D17 D23 D26:D27">
    <cfRule type="cellIs" dxfId="37" priority="29" operator="lessThan">
      <formula>12</formula>
    </cfRule>
  </conditionalFormatting>
  <conditionalFormatting sqref="G12 G17 G23 G26:G27">
    <cfRule type="cellIs" dxfId="36" priority="28" operator="lessThan">
      <formula>12</formula>
    </cfRule>
  </conditionalFormatting>
  <conditionalFormatting sqref="J12 J17 J23 J26:J27">
    <cfRule type="cellIs" dxfId="35" priority="27" operator="lessThan">
      <formula>12</formula>
    </cfRule>
  </conditionalFormatting>
  <conditionalFormatting sqref="M12 M17 M23 M26:M27">
    <cfRule type="cellIs" dxfId="34" priority="26" operator="lessThan">
      <formula>12</formula>
    </cfRule>
  </conditionalFormatting>
  <conditionalFormatting sqref="P12 P17 P23 P26:P27 P32:P33 P36">
    <cfRule type="cellIs" dxfId="33" priority="25" operator="lessThan">
      <formula>8</formula>
    </cfRule>
  </conditionalFormatting>
  <conditionalFormatting sqref="S7">
    <cfRule type="cellIs" dxfId="32" priority="38" operator="lessThan">
      <formula>12</formula>
    </cfRule>
  </conditionalFormatting>
  <conditionalFormatting sqref="S12 AK12 BF12 BR12 CS12 DB12 DE12 S17 AK17 BF17 BR17 CS17 DB17 DE17 S23 AK23 BF23 BR23 CS23 DB23 DE23 S26:S27 AK26:AK27 BF26:BF27 BR26:BR27 CS26:CS27 DB26:DB27 DE26:DE27 S32:S33 AK32:AK33 BF32:BF33 BR32:BR33 CS32:CS33 DB32:DB33 DE32:DE33 S36:S37 AK36:AK37 BF36:BF37 BR36:BR37 CS36:CS37 DB36:DB37 DE36:DE37 D37 G37 J37 M37 P37 V37 Y37 AE37 AH37 AN37 AQ37 AT37 AW37 AZ37 BC37 BI37 BL37 BU37 BX37 CA37 CD37 CJ37 CM37 CP37 CV37 CY37">
    <cfRule type="cellIs" dxfId="31" priority="37" operator="lessThan">
      <formula>12</formula>
    </cfRule>
  </conditionalFormatting>
  <conditionalFormatting sqref="U12 U17 U23 U26:U27 U32:U33 U36:U37">
    <cfRule type="cellIs" dxfId="30" priority="36" operator="lessThan">
      <formula>5</formula>
    </cfRule>
  </conditionalFormatting>
  <conditionalFormatting sqref="V12 V17 V23 V26:V27">
    <cfRule type="cellIs" dxfId="29" priority="24" operator="lessThan">
      <formula>12</formula>
    </cfRule>
  </conditionalFormatting>
  <conditionalFormatting sqref="Y23 Y36">
    <cfRule type="cellIs" dxfId="28" priority="23" operator="lessThan">
      <formula>10</formula>
    </cfRule>
  </conditionalFormatting>
  <conditionalFormatting sqref="AB12 AB17 AB23 AB26:AB27">
    <cfRule type="cellIs" dxfId="27" priority="22" operator="lessThan">
      <formula>12</formula>
    </cfRule>
  </conditionalFormatting>
  <conditionalFormatting sqref="AB37">
    <cfRule type="cellIs" dxfId="26" priority="30" operator="lessThan">
      <formula>12</formula>
    </cfRule>
  </conditionalFormatting>
  <conditionalFormatting sqref="AE12 AE17 AE23 AE26:AE27">
    <cfRule type="cellIs" dxfId="25" priority="21" operator="lessThan">
      <formula>12</formula>
    </cfRule>
  </conditionalFormatting>
  <conditionalFormatting sqref="AH12 AH17 AH23 AH26:AH27">
    <cfRule type="cellIs" dxfId="24" priority="20" operator="lessThan">
      <formula>12</formula>
    </cfRule>
  </conditionalFormatting>
  <conditionalFormatting sqref="AM12 BH12 CU12 AM17 BH17 CU17 AM23 BH23 CU23 AM26:AM27 BH26:BH27 CU26:CU27 AM32:AM33 BH32:BH33 CU32:CU33 AM36:AM37 BH36:BH37 CU36:CU37">
    <cfRule type="cellIs" dxfId="23" priority="35" operator="lessThan">
      <formula>6</formula>
    </cfRule>
  </conditionalFormatting>
  <conditionalFormatting sqref="AN12 AN17 AN23 AN26:AN27">
    <cfRule type="cellIs" dxfId="22" priority="19" operator="lessThan">
      <formula>12</formula>
    </cfRule>
  </conditionalFormatting>
  <conditionalFormatting sqref="AQ12 AQ17 AQ23 AQ26:AQ27">
    <cfRule type="cellIs" dxfId="21" priority="18" operator="lessThan">
      <formula>12</formula>
    </cfRule>
  </conditionalFormatting>
  <conditionalFormatting sqref="AT12 AT17 AT23 AT26:AT27">
    <cfRule type="cellIs" dxfId="20" priority="17" operator="lessThan">
      <formula>12</formula>
    </cfRule>
  </conditionalFormatting>
  <conditionalFormatting sqref="AW12 AW17 AW23 AW26:AW27">
    <cfRule type="cellIs" dxfId="19" priority="16" operator="lessThan">
      <formula>12</formula>
    </cfRule>
  </conditionalFormatting>
  <conditionalFormatting sqref="AZ12 AZ17 AZ23 AZ26:AZ27">
    <cfRule type="cellIs" dxfId="18" priority="15" operator="lessThan">
      <formula>12</formula>
    </cfRule>
  </conditionalFormatting>
  <conditionalFormatting sqref="BC12 BC17 BC23 BC26:BC27">
    <cfRule type="cellIs" dxfId="17" priority="14" operator="lessThan">
      <formula>12</formula>
    </cfRule>
  </conditionalFormatting>
  <conditionalFormatting sqref="BI23 BI36">
    <cfRule type="cellIs" dxfId="16" priority="13" operator="lessThan">
      <formula>8</formula>
    </cfRule>
  </conditionalFormatting>
  <conditionalFormatting sqref="BL12 BL17 BL23 BL26:BL27">
    <cfRule type="cellIs" dxfId="15" priority="12" operator="lessThan">
      <formula>12</formula>
    </cfRule>
  </conditionalFormatting>
  <conditionalFormatting sqref="BO12 BO17 BO23 BO26:BO27 BO32:BO33 BO36:BO37">
    <cfRule type="cellIs" dxfId="14" priority="11" operator="lessThan">
      <formula>12</formula>
    </cfRule>
  </conditionalFormatting>
  <conditionalFormatting sqref="BT12 BT17 BT23 BT26:BT27 BT32:BT33 BT36:BT37">
    <cfRule type="cellIs" dxfId="13" priority="34" operator="lessThan">
      <formula>4</formula>
    </cfRule>
  </conditionalFormatting>
  <conditionalFormatting sqref="BU12 BU17 BU23 BU26:BU27">
    <cfRule type="cellIs" dxfId="12" priority="10" operator="lessThan">
      <formula>12</formula>
    </cfRule>
  </conditionalFormatting>
  <conditionalFormatting sqref="BX23 BX36">
    <cfRule type="cellIs" dxfId="11" priority="9" operator="lessThan">
      <formula>8</formula>
    </cfRule>
  </conditionalFormatting>
  <conditionalFormatting sqref="CA12 CA17 CA23 CA26:CA27">
    <cfRule type="cellIs" dxfId="10" priority="8" operator="lessThan">
      <formula>12</formula>
    </cfRule>
  </conditionalFormatting>
  <conditionalFormatting sqref="CD12 CD17 CD23 CD26:CD27">
    <cfRule type="cellIs" dxfId="9" priority="7" operator="lessThan">
      <formula>12</formula>
    </cfRule>
  </conditionalFormatting>
  <conditionalFormatting sqref="CG12 CG17 CG23 CG26:CG27">
    <cfRule type="cellIs" dxfId="8" priority="6" operator="lessThan">
      <formula>12</formula>
    </cfRule>
  </conditionalFormatting>
  <conditionalFormatting sqref="CG37">
    <cfRule type="cellIs" dxfId="7" priority="31" operator="lessThan">
      <formula>12</formula>
    </cfRule>
  </conditionalFormatting>
  <conditionalFormatting sqref="CJ12 CJ17 CJ23 CJ26:CJ27 CJ32:CJ33 CJ36">
    <cfRule type="cellIs" dxfId="6" priority="5" operator="lessThan">
      <formula>12</formula>
    </cfRule>
  </conditionalFormatting>
  <conditionalFormatting sqref="CM12 CM17 CM23 CM26:CM27">
    <cfRule type="cellIs" dxfId="5" priority="4" operator="lessThan">
      <formula>12</formula>
    </cfRule>
  </conditionalFormatting>
  <conditionalFormatting sqref="CP12 CP17 CP23 CP26:CP27">
    <cfRule type="cellIs" dxfId="4" priority="2" operator="lessThan">
      <formula>12</formula>
    </cfRule>
  </conditionalFormatting>
  <conditionalFormatting sqref="CV12 CV17 CV23 CV26:CV27">
    <cfRule type="cellIs" dxfId="3" priority="3" operator="lessThan">
      <formula>12</formula>
    </cfRule>
  </conditionalFormatting>
  <conditionalFormatting sqref="CY12 CY17 CY23 CY26:CY27">
    <cfRule type="cellIs" dxfId="2" priority="1" operator="lessThan">
      <formula>12</formula>
    </cfRule>
  </conditionalFormatting>
  <conditionalFormatting sqref="DD12 DD17 DD23 DD26:DD27 DD32:DD33 DD36:DD37">
    <cfRule type="cellIs" dxfId="1" priority="33" operator="lessThan">
      <formula>3</formula>
    </cfRule>
  </conditionalFormatting>
  <conditionalFormatting sqref="DG12 DG17 DG23 DG26:DG27 DG32:DG33 DG36:DG37">
    <cfRule type="cellIs" dxfId="0" priority="3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53B3-B6C1-4D2A-99AF-3A313C897948}">
  <dimension ref="A2:O42"/>
  <sheetViews>
    <sheetView tabSelected="1" topLeftCell="A10" zoomScale="50" zoomScaleNormal="50" workbookViewId="0">
      <selection activeCell="E5" sqref="E5"/>
    </sheetView>
  </sheetViews>
  <sheetFormatPr baseColWidth="10" defaultRowHeight="14.5" x14ac:dyDescent="0.35"/>
  <cols>
    <col min="1" max="1" width="7.54296875" customWidth="1"/>
    <col min="2" max="2" width="30.54296875" customWidth="1"/>
    <col min="4" max="4" width="5" bestFit="1" customWidth="1"/>
    <col min="5" max="5" width="31.26953125" customWidth="1"/>
    <col min="6" max="6" width="7.81640625" customWidth="1"/>
    <col min="7" max="7" width="7.26953125" customWidth="1"/>
    <col min="8" max="8" width="6.26953125" customWidth="1"/>
    <col min="9" max="9" width="10.1796875" customWidth="1"/>
    <col min="10" max="10" width="8.7265625" customWidth="1"/>
    <col min="12" max="12" width="10.1796875" customWidth="1"/>
    <col min="13" max="13" width="9.54296875" customWidth="1"/>
    <col min="14" max="14" width="12" customWidth="1"/>
    <col min="15" max="15" width="9.26953125" customWidth="1"/>
  </cols>
  <sheetData>
    <row r="2" spans="1:15" x14ac:dyDescent="0.35">
      <c r="A2" s="1" t="s">
        <v>0</v>
      </c>
    </row>
    <row r="3" spans="1:15" x14ac:dyDescent="0.35">
      <c r="A3" s="1" t="s">
        <v>1</v>
      </c>
      <c r="J3" s="2"/>
    </row>
    <row r="4" spans="1:15" ht="20.5" x14ac:dyDescent="0.45">
      <c r="A4" s="3"/>
      <c r="B4" t="s">
        <v>2</v>
      </c>
    </row>
    <row r="5" spans="1:15" x14ac:dyDescent="0.35">
      <c r="A5" s="4" t="s">
        <v>3</v>
      </c>
    </row>
    <row r="6" spans="1:15" x14ac:dyDescent="0.35">
      <c r="A6" s="4" t="s">
        <v>4</v>
      </c>
      <c r="F6" s="227"/>
      <c r="G6" s="227"/>
    </row>
    <row r="7" spans="1:15" ht="17" thickBot="1" x14ac:dyDescent="0.4">
      <c r="A7" s="4" t="s">
        <v>5</v>
      </c>
    </row>
    <row r="8" spans="1:15" ht="15" thickBot="1" x14ac:dyDescent="0.4">
      <c r="A8" s="221" t="s">
        <v>6</v>
      </c>
      <c r="B8" s="222"/>
      <c r="C8" s="222"/>
      <c r="D8" s="223"/>
      <c r="E8" s="224" t="s">
        <v>7</v>
      </c>
      <c r="F8" s="222"/>
      <c r="G8" s="223"/>
      <c r="H8" s="224" t="s">
        <v>8</v>
      </c>
      <c r="I8" s="222"/>
      <c r="J8" s="222"/>
      <c r="K8" s="222"/>
      <c r="L8" s="222"/>
      <c r="M8" s="222"/>
      <c r="N8" s="222"/>
      <c r="O8" s="228"/>
    </row>
    <row r="9" spans="1:15" ht="15" thickBot="1" x14ac:dyDescent="0.4">
      <c r="A9" s="219" t="s">
        <v>9</v>
      </c>
      <c r="B9" s="219" t="s">
        <v>10</v>
      </c>
      <c r="C9" s="219" t="s">
        <v>11</v>
      </c>
      <c r="D9" s="219" t="s">
        <v>12</v>
      </c>
      <c r="E9" s="219" t="s">
        <v>13</v>
      </c>
      <c r="F9" s="219" t="s">
        <v>14</v>
      </c>
      <c r="G9" s="219" t="s">
        <v>12</v>
      </c>
      <c r="H9" s="221" t="s">
        <v>15</v>
      </c>
      <c r="I9" s="222"/>
      <c r="J9" s="223"/>
      <c r="K9" s="224" t="s">
        <v>16</v>
      </c>
      <c r="L9" s="222"/>
      <c r="M9" s="223"/>
      <c r="N9" s="224" t="s">
        <v>17</v>
      </c>
      <c r="O9" s="223"/>
    </row>
    <row r="10" spans="1:15" ht="28.5" thickBot="1" x14ac:dyDescent="0.4">
      <c r="A10" s="220"/>
      <c r="B10" s="220"/>
      <c r="C10" s="220"/>
      <c r="D10" s="220"/>
      <c r="E10" s="220"/>
      <c r="F10" s="220"/>
      <c r="G10" s="220"/>
      <c r="H10" s="6" t="s">
        <v>18</v>
      </c>
      <c r="I10" s="6" t="s">
        <v>19</v>
      </c>
      <c r="J10" s="7" t="s">
        <v>20</v>
      </c>
      <c r="K10" s="6" t="s">
        <v>18</v>
      </c>
      <c r="L10" s="6" t="s">
        <v>19</v>
      </c>
      <c r="M10" s="7" t="s">
        <v>20</v>
      </c>
      <c r="N10" s="7" t="s">
        <v>21</v>
      </c>
      <c r="O10" s="7" t="s">
        <v>20</v>
      </c>
    </row>
    <row r="11" spans="1:15" ht="15" thickBot="1" x14ac:dyDescent="0.4">
      <c r="A11" s="197" t="s">
        <v>22</v>
      </c>
      <c r="B11" s="197" t="s">
        <v>23</v>
      </c>
      <c r="C11" s="197">
        <v>5</v>
      </c>
      <c r="D11" s="197">
        <v>5</v>
      </c>
      <c r="E11" s="8" t="s">
        <v>24</v>
      </c>
      <c r="F11" s="5">
        <v>1</v>
      </c>
      <c r="G11" s="5">
        <v>1</v>
      </c>
      <c r="H11" s="9">
        <f>'[1]TSS (IDE-SF-BM)'!D8</f>
        <v>19.5</v>
      </c>
      <c r="I11" s="10">
        <f>H11*G11</f>
        <v>19.5</v>
      </c>
      <c r="J11" s="11">
        <v>1</v>
      </c>
      <c r="K11" s="225">
        <f>(I11+I12+I13+I14+I15)/5</f>
        <v>17.8</v>
      </c>
      <c r="L11" s="226">
        <f>K11*D11</f>
        <v>89</v>
      </c>
      <c r="M11" s="197">
        <f>J11+J12+J13+J14+J15</f>
        <v>5</v>
      </c>
      <c r="N11" s="198">
        <f>(L11+L16+L21+L27+L30+L38)/42</f>
        <v>14.732142857142858</v>
      </c>
      <c r="O11" s="198">
        <v>30</v>
      </c>
    </row>
    <row r="12" spans="1:15" ht="15" thickBot="1" x14ac:dyDescent="0.4">
      <c r="A12" s="195"/>
      <c r="B12" s="195"/>
      <c r="C12" s="195"/>
      <c r="D12" s="195"/>
      <c r="E12" s="12" t="s">
        <v>25</v>
      </c>
      <c r="F12" s="13">
        <v>1</v>
      </c>
      <c r="G12" s="13">
        <v>1</v>
      </c>
      <c r="H12" s="9">
        <f>'[1]TSS (IDE-SF-BM)'!G8</f>
        <v>18.5</v>
      </c>
      <c r="I12" s="10">
        <f t="shared" ref="I12:I39" si="0">H12*G12</f>
        <v>18.5</v>
      </c>
      <c r="J12" s="11">
        <v>1</v>
      </c>
      <c r="K12" s="201"/>
      <c r="L12" s="204"/>
      <c r="M12" s="195"/>
      <c r="N12" s="218"/>
      <c r="O12" s="218"/>
    </row>
    <row r="13" spans="1:15" ht="15" thickBot="1" x14ac:dyDescent="0.4">
      <c r="A13" s="195"/>
      <c r="B13" s="195"/>
      <c r="C13" s="195"/>
      <c r="D13" s="195"/>
      <c r="E13" s="12" t="s">
        <v>26</v>
      </c>
      <c r="F13" s="13">
        <v>1</v>
      </c>
      <c r="G13" s="13">
        <v>1</v>
      </c>
      <c r="H13" s="9">
        <f>'[1]TSS (IDE-SF-BM)'!K8</f>
        <v>14</v>
      </c>
      <c r="I13" s="10">
        <f t="shared" si="0"/>
        <v>14</v>
      </c>
      <c r="J13" s="11">
        <v>1</v>
      </c>
      <c r="K13" s="201"/>
      <c r="L13" s="204"/>
      <c r="M13" s="195"/>
      <c r="N13" s="218"/>
      <c r="O13" s="218"/>
    </row>
    <row r="14" spans="1:15" ht="15" thickBot="1" x14ac:dyDescent="0.4">
      <c r="A14" s="195"/>
      <c r="B14" s="195"/>
      <c r="C14" s="195"/>
      <c r="D14" s="195"/>
      <c r="E14" s="12" t="s">
        <v>27</v>
      </c>
      <c r="F14" s="13">
        <v>1</v>
      </c>
      <c r="G14" s="13">
        <v>1</v>
      </c>
      <c r="H14" s="9">
        <f>'[1]TSS (IDE-SF-BM)'!M8</f>
        <v>19</v>
      </c>
      <c r="I14" s="10">
        <f t="shared" si="0"/>
        <v>19</v>
      </c>
      <c r="J14" s="11">
        <v>1</v>
      </c>
      <c r="K14" s="201"/>
      <c r="L14" s="204"/>
      <c r="M14" s="195"/>
      <c r="N14" s="218"/>
      <c r="O14" s="218"/>
    </row>
    <row r="15" spans="1:15" ht="15" thickBot="1" x14ac:dyDescent="0.4">
      <c r="A15" s="207"/>
      <c r="B15" s="207"/>
      <c r="C15" s="207"/>
      <c r="D15" s="207"/>
      <c r="E15" s="14" t="s">
        <v>28</v>
      </c>
      <c r="F15" s="15">
        <v>1</v>
      </c>
      <c r="G15" s="15">
        <v>1</v>
      </c>
      <c r="H15" s="9">
        <f>'[1]TSS (IDE-SF-BM)'!Q8</f>
        <v>18</v>
      </c>
      <c r="I15" s="10">
        <f t="shared" si="0"/>
        <v>18</v>
      </c>
      <c r="J15" s="11">
        <v>1</v>
      </c>
      <c r="K15" s="216"/>
      <c r="L15" s="217"/>
      <c r="M15" s="207"/>
      <c r="N15" s="218"/>
      <c r="O15" s="218"/>
    </row>
    <row r="16" spans="1:15" ht="15.5" thickTop="1" thickBot="1" x14ac:dyDescent="0.4">
      <c r="A16" s="206" t="s">
        <v>29</v>
      </c>
      <c r="B16" s="206" t="s">
        <v>30</v>
      </c>
      <c r="C16" s="206">
        <v>6</v>
      </c>
      <c r="D16" s="206">
        <v>9</v>
      </c>
      <c r="E16" s="16" t="s">
        <v>31</v>
      </c>
      <c r="F16" s="17">
        <v>1</v>
      </c>
      <c r="G16" s="17">
        <v>2</v>
      </c>
      <c r="H16" s="18">
        <f>'[1]TSS (IDE-SF-BM)'!V8</f>
        <v>16.5</v>
      </c>
      <c r="I16" s="10">
        <f t="shared" si="0"/>
        <v>33</v>
      </c>
      <c r="J16" s="11">
        <v>1</v>
      </c>
      <c r="K16" s="209">
        <f>(I16+I17+I18+I19+I20)/9</f>
        <v>16.333333333333332</v>
      </c>
      <c r="L16" s="211">
        <f>K16*D16</f>
        <v>147</v>
      </c>
      <c r="M16" s="206">
        <v>6</v>
      </c>
      <c r="N16" s="218"/>
      <c r="O16" s="218"/>
    </row>
    <row r="17" spans="1:15" ht="15" thickBot="1" x14ac:dyDescent="0.4">
      <c r="A17" s="195"/>
      <c r="B17" s="195"/>
      <c r="C17" s="195"/>
      <c r="D17" s="195"/>
      <c r="E17" s="12" t="s">
        <v>32</v>
      </c>
      <c r="F17" s="13">
        <v>1</v>
      </c>
      <c r="G17" s="13">
        <v>2</v>
      </c>
      <c r="H17" s="10">
        <f>'[1]TSS (IDE-SF-BM)'!Y8</f>
        <v>16.5</v>
      </c>
      <c r="I17" s="10">
        <f t="shared" si="0"/>
        <v>33</v>
      </c>
      <c r="J17" s="11">
        <v>1</v>
      </c>
      <c r="K17" s="201"/>
      <c r="L17" s="204"/>
      <c r="M17" s="195"/>
      <c r="N17" s="218"/>
      <c r="O17" s="218"/>
    </row>
    <row r="18" spans="1:15" ht="29" thickBot="1" x14ac:dyDescent="0.4">
      <c r="A18" s="195"/>
      <c r="B18" s="195"/>
      <c r="C18" s="195"/>
      <c r="D18" s="195"/>
      <c r="E18" s="12" t="s">
        <v>33</v>
      </c>
      <c r="F18" s="13">
        <v>2</v>
      </c>
      <c r="G18" s="13">
        <v>3</v>
      </c>
      <c r="H18" s="10">
        <f>'[1]TSS (IDE-SF-BM)'!AB8</f>
        <v>17</v>
      </c>
      <c r="I18" s="10">
        <f t="shared" si="0"/>
        <v>51</v>
      </c>
      <c r="J18" s="11">
        <f>H18/12</f>
        <v>1.4166666666666667</v>
      </c>
      <c r="K18" s="201"/>
      <c r="L18" s="204"/>
      <c r="M18" s="195"/>
      <c r="N18" s="218"/>
      <c r="O18" s="218"/>
    </row>
    <row r="19" spans="1:15" ht="15" thickBot="1" x14ac:dyDescent="0.4">
      <c r="A19" s="195"/>
      <c r="B19" s="195"/>
      <c r="C19" s="195"/>
      <c r="D19" s="195"/>
      <c r="E19" s="12" t="s">
        <v>34</v>
      </c>
      <c r="F19" s="13">
        <v>1</v>
      </c>
      <c r="G19" s="13">
        <v>1</v>
      </c>
      <c r="H19" s="10">
        <f>'[1]TSS (IDE-SF-BM)'!AE8</f>
        <v>20</v>
      </c>
      <c r="I19" s="10">
        <f t="shared" si="0"/>
        <v>20</v>
      </c>
      <c r="J19" s="11">
        <v>1</v>
      </c>
      <c r="K19" s="201"/>
      <c r="L19" s="204"/>
      <c r="M19" s="195"/>
      <c r="N19" s="218"/>
      <c r="O19" s="218"/>
    </row>
    <row r="20" spans="1:15" ht="15" thickBot="1" x14ac:dyDescent="0.4">
      <c r="A20" s="207"/>
      <c r="B20" s="207"/>
      <c r="C20" s="207"/>
      <c r="D20" s="207"/>
      <c r="E20" s="12" t="s">
        <v>35</v>
      </c>
      <c r="F20" s="13">
        <v>1</v>
      </c>
      <c r="G20" s="13">
        <v>1</v>
      </c>
      <c r="H20" s="10">
        <f>'[1]TSS (IDE-SF-BM)'!AH8</f>
        <v>10</v>
      </c>
      <c r="I20" s="10">
        <f t="shared" si="0"/>
        <v>10</v>
      </c>
      <c r="J20" s="11">
        <f t="shared" ref="J20:J26" si="1">H20/12</f>
        <v>0.83333333333333337</v>
      </c>
      <c r="K20" s="216"/>
      <c r="L20" s="217"/>
      <c r="M20" s="207"/>
      <c r="N20" s="218"/>
      <c r="O20" s="218"/>
    </row>
    <row r="21" spans="1:15" ht="15.5" thickTop="1" thickBot="1" x14ac:dyDescent="0.4">
      <c r="A21" s="206" t="s">
        <v>36</v>
      </c>
      <c r="B21" s="206" t="s">
        <v>37</v>
      </c>
      <c r="C21" s="206">
        <v>6</v>
      </c>
      <c r="D21" s="213">
        <v>8</v>
      </c>
      <c r="E21" s="16" t="s">
        <v>38</v>
      </c>
      <c r="F21" s="18">
        <v>1</v>
      </c>
      <c r="G21" s="18">
        <v>1</v>
      </c>
      <c r="H21" s="18">
        <f>'[1]TSS (IDE-SF-BM)'!AN8</f>
        <v>5</v>
      </c>
      <c r="I21" s="10">
        <f t="shared" si="0"/>
        <v>5</v>
      </c>
      <c r="J21" s="11">
        <f t="shared" si="1"/>
        <v>0.41666666666666669</v>
      </c>
      <c r="K21" s="209">
        <f>(I21+I22+I23+I24+I25+I26)/8</f>
        <v>11.5</v>
      </c>
      <c r="L21" s="211">
        <f>K21*D21</f>
        <v>92</v>
      </c>
      <c r="M21" s="206">
        <v>6</v>
      </c>
      <c r="N21" s="218"/>
      <c r="O21" s="218"/>
    </row>
    <row r="22" spans="1:15" ht="15" thickBot="1" x14ac:dyDescent="0.4">
      <c r="A22" s="195"/>
      <c r="B22" s="195"/>
      <c r="C22" s="195"/>
      <c r="D22" s="214"/>
      <c r="E22" s="12" t="s">
        <v>39</v>
      </c>
      <c r="F22" s="13">
        <v>1</v>
      </c>
      <c r="G22" s="13">
        <v>1</v>
      </c>
      <c r="H22" s="10">
        <f>'[1]TSS (IDE-SF-BM)'!AT8</f>
        <v>12.5</v>
      </c>
      <c r="I22" s="10">
        <f t="shared" si="0"/>
        <v>12.5</v>
      </c>
      <c r="J22" s="11">
        <v>1</v>
      </c>
      <c r="K22" s="201"/>
      <c r="L22" s="204"/>
      <c r="M22" s="195"/>
      <c r="N22" s="218"/>
      <c r="O22" s="218"/>
    </row>
    <row r="23" spans="1:15" ht="15" thickBot="1" x14ac:dyDescent="0.4">
      <c r="A23" s="195"/>
      <c r="B23" s="195"/>
      <c r="C23" s="195"/>
      <c r="D23" s="214"/>
      <c r="E23" s="12" t="s">
        <v>40</v>
      </c>
      <c r="F23" s="13">
        <v>1</v>
      </c>
      <c r="G23" s="13">
        <v>1</v>
      </c>
      <c r="H23" s="10">
        <f>'[1]TSS (IDE-SF-BM)'!AW8</f>
        <v>11.5</v>
      </c>
      <c r="I23" s="10">
        <f t="shared" si="0"/>
        <v>11.5</v>
      </c>
      <c r="J23" s="11">
        <f t="shared" si="1"/>
        <v>0.95833333333333337</v>
      </c>
      <c r="K23" s="201"/>
      <c r="L23" s="204"/>
      <c r="M23" s="195"/>
      <c r="N23" s="218"/>
      <c r="O23" s="218"/>
    </row>
    <row r="24" spans="1:15" ht="15" thickBot="1" x14ac:dyDescent="0.4">
      <c r="A24" s="195"/>
      <c r="B24" s="195"/>
      <c r="C24" s="195"/>
      <c r="D24" s="214"/>
      <c r="E24" s="19" t="s">
        <v>41</v>
      </c>
      <c r="F24" s="5">
        <v>1</v>
      </c>
      <c r="G24" s="5">
        <v>2</v>
      </c>
      <c r="H24" s="20">
        <f>'[1]TSS (IDE-SF-BM)'!AZ8</f>
        <v>14.25</v>
      </c>
      <c r="I24" s="10">
        <f t="shared" si="0"/>
        <v>28.5</v>
      </c>
      <c r="J24" s="11">
        <f t="shared" si="1"/>
        <v>1.1875</v>
      </c>
      <c r="K24" s="201"/>
      <c r="L24" s="204"/>
      <c r="M24" s="195"/>
      <c r="N24" s="218"/>
      <c r="O24" s="218"/>
    </row>
    <row r="25" spans="1:15" ht="15" thickBot="1" x14ac:dyDescent="0.4">
      <c r="A25" s="195"/>
      <c r="B25" s="195"/>
      <c r="C25" s="195"/>
      <c r="D25" s="214"/>
      <c r="E25" s="19" t="s">
        <v>42</v>
      </c>
      <c r="F25" s="5">
        <v>1</v>
      </c>
      <c r="G25" s="5">
        <v>2</v>
      </c>
      <c r="H25" s="20">
        <f>'[1]TSS (IDE-SF-BM)'!AZ8</f>
        <v>14.25</v>
      </c>
      <c r="I25" s="10">
        <f t="shared" si="0"/>
        <v>28.5</v>
      </c>
      <c r="J25" s="11">
        <v>1</v>
      </c>
      <c r="K25" s="201"/>
      <c r="L25" s="204"/>
      <c r="M25" s="195"/>
      <c r="N25" s="218"/>
      <c r="O25" s="218"/>
    </row>
    <row r="26" spans="1:15" ht="15" thickBot="1" x14ac:dyDescent="0.4">
      <c r="A26" s="196"/>
      <c r="B26" s="196"/>
      <c r="C26" s="196"/>
      <c r="D26" s="215"/>
      <c r="E26" s="14" t="s">
        <v>43</v>
      </c>
      <c r="F26" s="15">
        <v>1</v>
      </c>
      <c r="G26" s="15">
        <v>1</v>
      </c>
      <c r="H26" s="21">
        <f>'[1]TSS (IDE-SF-BM)'!BC8</f>
        <v>6</v>
      </c>
      <c r="I26" s="10">
        <f t="shared" si="0"/>
        <v>6</v>
      </c>
      <c r="J26" s="11">
        <f t="shared" si="1"/>
        <v>0.5</v>
      </c>
      <c r="K26" s="216"/>
      <c r="L26" s="217"/>
      <c r="M26" s="207"/>
      <c r="N26" s="218"/>
      <c r="O26" s="218"/>
    </row>
    <row r="27" spans="1:15" ht="15.5" thickTop="1" thickBot="1" x14ac:dyDescent="0.4">
      <c r="A27" s="197" t="s">
        <v>44</v>
      </c>
      <c r="B27" s="197" t="s">
        <v>45</v>
      </c>
      <c r="C27" s="197">
        <v>4</v>
      </c>
      <c r="D27" s="197">
        <v>3</v>
      </c>
      <c r="E27" s="16" t="s">
        <v>46</v>
      </c>
      <c r="F27" s="17">
        <v>2</v>
      </c>
      <c r="G27" s="17">
        <v>1</v>
      </c>
      <c r="H27" s="18">
        <f>'[1]TSS (IDE-SF-BM)'!BI8</f>
        <v>9</v>
      </c>
      <c r="I27" s="10">
        <f t="shared" si="0"/>
        <v>9</v>
      </c>
      <c r="J27" s="11">
        <f>H27/12</f>
        <v>0.75</v>
      </c>
      <c r="K27" s="209">
        <f>(I27+I28+I29)/3</f>
        <v>13.5</v>
      </c>
      <c r="L27" s="211">
        <f>K27*D27</f>
        <v>40.5</v>
      </c>
      <c r="M27" s="206">
        <v>4</v>
      </c>
      <c r="N27" s="218"/>
      <c r="O27" s="218"/>
    </row>
    <row r="28" spans="1:15" ht="15" thickBot="1" x14ac:dyDescent="0.4">
      <c r="A28" s="195"/>
      <c r="B28" s="195"/>
      <c r="C28" s="195"/>
      <c r="D28" s="195"/>
      <c r="E28" s="22" t="s">
        <v>47</v>
      </c>
      <c r="F28" s="23">
        <v>1</v>
      </c>
      <c r="G28" s="23">
        <v>1</v>
      </c>
      <c r="H28" s="24">
        <f>'[1]TSS (IDE-SF-BM)'!BL8</f>
        <v>18</v>
      </c>
      <c r="I28" s="10">
        <f>H28*G28</f>
        <v>18</v>
      </c>
      <c r="J28" s="11">
        <v>1</v>
      </c>
      <c r="K28" s="201"/>
      <c r="L28" s="204"/>
      <c r="M28" s="195"/>
      <c r="N28" s="218"/>
      <c r="O28" s="218"/>
    </row>
    <row r="29" spans="1:15" ht="15" thickBot="1" x14ac:dyDescent="0.4">
      <c r="A29" s="208"/>
      <c r="B29" s="208"/>
      <c r="C29" s="208"/>
      <c r="D29" s="208"/>
      <c r="E29" s="22" t="s">
        <v>48</v>
      </c>
      <c r="F29" s="23">
        <v>1</v>
      </c>
      <c r="G29" s="23">
        <v>1</v>
      </c>
      <c r="H29" s="24">
        <f>'[1]TSS (IDE-SF-BM)'!BO8</f>
        <v>13.5</v>
      </c>
      <c r="I29" s="10">
        <f t="shared" si="0"/>
        <v>13.5</v>
      </c>
      <c r="J29" s="11">
        <v>1</v>
      </c>
      <c r="K29" s="210"/>
      <c r="L29" s="212"/>
      <c r="M29" s="208"/>
      <c r="N29" s="218"/>
      <c r="O29" s="218"/>
    </row>
    <row r="30" spans="1:15" ht="29.5" thickTop="1" thickBot="1" x14ac:dyDescent="0.4">
      <c r="A30" s="194" t="s">
        <v>49</v>
      </c>
      <c r="B30" s="194" t="s">
        <v>50</v>
      </c>
      <c r="C30" s="194">
        <v>6</v>
      </c>
      <c r="D30" s="194">
        <v>14</v>
      </c>
      <c r="E30" s="25" t="s">
        <v>51</v>
      </c>
      <c r="F30" s="26">
        <v>1</v>
      </c>
      <c r="G30" s="26">
        <v>1</v>
      </c>
      <c r="H30" s="27">
        <f>'[1]TSS (IDE-SF-BM)'!BU8</f>
        <v>15.75</v>
      </c>
      <c r="I30" s="10">
        <f t="shared" si="0"/>
        <v>15.75</v>
      </c>
      <c r="J30" s="11">
        <v>1</v>
      </c>
      <c r="K30" s="200">
        <f>(I30+I31+I32+I33+I34+I35+I36+I37)/14</f>
        <v>14.660714285714286</v>
      </c>
      <c r="L30" s="203">
        <f>K30*D30</f>
        <v>205.25</v>
      </c>
      <c r="M30" s="194">
        <f>J30+J31+J32+J33+J34+J35+J36+J37</f>
        <v>6</v>
      </c>
      <c r="N30" s="218"/>
      <c r="O30" s="218"/>
    </row>
    <row r="31" spans="1:15" ht="15" thickBot="1" x14ac:dyDescent="0.4">
      <c r="A31" s="195"/>
      <c r="B31" s="195"/>
      <c r="C31" s="195"/>
      <c r="D31" s="195"/>
      <c r="E31" s="12" t="s">
        <v>52</v>
      </c>
      <c r="F31" s="13">
        <v>1</v>
      </c>
      <c r="G31" s="13">
        <v>1</v>
      </c>
      <c r="H31" s="10">
        <f>'[1]TSS (IDE-SF-BM)'!BX8</f>
        <v>19</v>
      </c>
      <c r="I31" s="10">
        <f t="shared" si="0"/>
        <v>19</v>
      </c>
      <c r="J31" s="11">
        <v>1</v>
      </c>
      <c r="K31" s="201"/>
      <c r="L31" s="204"/>
      <c r="M31" s="195"/>
      <c r="N31" s="218"/>
      <c r="O31" s="218"/>
    </row>
    <row r="32" spans="1:15" ht="29" thickBot="1" x14ac:dyDescent="0.4">
      <c r="A32" s="195"/>
      <c r="B32" s="195"/>
      <c r="C32" s="195"/>
      <c r="D32" s="195"/>
      <c r="E32" s="12" t="s">
        <v>53</v>
      </c>
      <c r="F32" s="13">
        <v>0.5</v>
      </c>
      <c r="G32" s="13">
        <v>2</v>
      </c>
      <c r="H32" s="10">
        <f>'[1]TSS (IDE-SF-BM)'!CA8</f>
        <v>17</v>
      </c>
      <c r="I32" s="10">
        <f t="shared" si="0"/>
        <v>34</v>
      </c>
      <c r="J32" s="11">
        <v>0.5</v>
      </c>
      <c r="K32" s="201"/>
      <c r="L32" s="204"/>
      <c r="M32" s="195"/>
      <c r="N32" s="218"/>
      <c r="O32" s="218"/>
    </row>
    <row r="33" spans="1:15" ht="15" thickBot="1" x14ac:dyDescent="0.4">
      <c r="A33" s="195"/>
      <c r="B33" s="195"/>
      <c r="C33" s="195"/>
      <c r="D33" s="195"/>
      <c r="E33" s="12" t="s">
        <v>54</v>
      </c>
      <c r="F33" s="13">
        <v>0.5</v>
      </c>
      <c r="G33" s="13">
        <v>3</v>
      </c>
      <c r="H33" s="10">
        <f>'[1]TSS (IDE-SF-BM)'!CD8</f>
        <v>16.5</v>
      </c>
      <c r="I33" s="10">
        <f t="shared" si="0"/>
        <v>49.5</v>
      </c>
      <c r="J33" s="11">
        <v>0.5</v>
      </c>
      <c r="K33" s="201"/>
      <c r="L33" s="204"/>
      <c r="M33" s="195"/>
      <c r="N33" s="218"/>
      <c r="O33" s="218"/>
    </row>
    <row r="34" spans="1:15" ht="29" thickBot="1" x14ac:dyDescent="0.4">
      <c r="A34" s="195"/>
      <c r="B34" s="195"/>
      <c r="C34" s="195"/>
      <c r="D34" s="195"/>
      <c r="E34" s="12" t="s">
        <v>55</v>
      </c>
      <c r="F34" s="13">
        <v>0.5</v>
      </c>
      <c r="G34" s="13">
        <v>2</v>
      </c>
      <c r="H34" s="10">
        <f>'[1]TSS (IDE-SF-BM)'!CG8</f>
        <v>10</v>
      </c>
      <c r="I34" s="10">
        <f t="shared" si="0"/>
        <v>20</v>
      </c>
      <c r="J34" s="11">
        <v>0.5</v>
      </c>
      <c r="K34" s="201"/>
      <c r="L34" s="204"/>
      <c r="M34" s="195"/>
      <c r="N34" s="218"/>
      <c r="O34" s="218"/>
    </row>
    <row r="35" spans="1:15" ht="15" thickBot="1" x14ac:dyDescent="0.4">
      <c r="A35" s="195"/>
      <c r="B35" s="195"/>
      <c r="C35" s="195"/>
      <c r="D35" s="195"/>
      <c r="E35" s="12" t="s">
        <v>56</v>
      </c>
      <c r="F35" s="13">
        <v>0.5</v>
      </c>
      <c r="G35" s="13">
        <v>3</v>
      </c>
      <c r="H35" s="10">
        <f>'[1]TSS (IDE-SF-BM)'!CJ8</f>
        <v>12</v>
      </c>
      <c r="I35" s="10">
        <f t="shared" si="0"/>
        <v>36</v>
      </c>
      <c r="J35" s="11">
        <f t="shared" ref="J35" si="2">H35/24</f>
        <v>0.5</v>
      </c>
      <c r="K35" s="201"/>
      <c r="L35" s="204"/>
      <c r="M35" s="195"/>
      <c r="N35" s="218"/>
      <c r="O35" s="218"/>
    </row>
    <row r="36" spans="1:15" ht="15" thickBot="1" x14ac:dyDescent="0.4">
      <c r="A36" s="195"/>
      <c r="B36" s="195"/>
      <c r="C36" s="195"/>
      <c r="D36" s="195"/>
      <c r="E36" s="12" t="s">
        <v>57</v>
      </c>
      <c r="F36" s="13">
        <v>1</v>
      </c>
      <c r="G36" s="13">
        <v>1</v>
      </c>
      <c r="H36" s="10">
        <f>'[1]TSS (IDE-SF-BM)'!CM8</f>
        <v>18</v>
      </c>
      <c r="I36" s="10">
        <f t="shared" si="0"/>
        <v>18</v>
      </c>
      <c r="J36" s="11">
        <v>1</v>
      </c>
      <c r="K36" s="201"/>
      <c r="L36" s="204"/>
      <c r="M36" s="195"/>
      <c r="N36" s="218"/>
      <c r="O36" s="218"/>
    </row>
    <row r="37" spans="1:15" ht="15" thickBot="1" x14ac:dyDescent="0.4">
      <c r="A37" s="196"/>
      <c r="B37" s="196"/>
      <c r="C37" s="196"/>
      <c r="D37" s="196"/>
      <c r="E37" s="12" t="s">
        <v>58</v>
      </c>
      <c r="F37" s="13">
        <v>1</v>
      </c>
      <c r="G37" s="13">
        <v>1</v>
      </c>
      <c r="H37" s="10">
        <f>'[1]TSS (IDE-SF-BM)'!CP8</f>
        <v>13</v>
      </c>
      <c r="I37" s="10">
        <f t="shared" si="0"/>
        <v>13</v>
      </c>
      <c r="J37" s="11">
        <v>1</v>
      </c>
      <c r="K37" s="202"/>
      <c r="L37" s="205"/>
      <c r="M37" s="196"/>
      <c r="N37" s="218"/>
      <c r="O37" s="218"/>
    </row>
    <row r="38" spans="1:15" ht="15" thickBot="1" x14ac:dyDescent="0.4">
      <c r="A38" s="197" t="s">
        <v>59</v>
      </c>
      <c r="B38" s="197" t="s">
        <v>60</v>
      </c>
      <c r="C38" s="197">
        <v>3</v>
      </c>
      <c r="D38" s="197">
        <v>3</v>
      </c>
      <c r="E38" s="28" t="s">
        <v>61</v>
      </c>
      <c r="F38" s="7">
        <v>1</v>
      </c>
      <c r="G38" s="7">
        <v>1</v>
      </c>
      <c r="H38" s="29">
        <f>'[1]TSS (IDE-SF-BM)'!CV8</f>
        <v>15</v>
      </c>
      <c r="I38" s="10">
        <f t="shared" si="0"/>
        <v>15</v>
      </c>
      <c r="J38" s="11">
        <v>1</v>
      </c>
      <c r="K38" s="198">
        <f>(I38+I39)/3</f>
        <v>15</v>
      </c>
      <c r="L38" s="197">
        <f>K38*D38</f>
        <v>45</v>
      </c>
      <c r="M38" s="197">
        <f>J38+J39</f>
        <v>3</v>
      </c>
      <c r="N38" s="218"/>
      <c r="O38" s="218"/>
    </row>
    <row r="39" spans="1:15" ht="15" thickBot="1" x14ac:dyDescent="0.4">
      <c r="A39" s="196"/>
      <c r="B39" s="196"/>
      <c r="C39" s="196"/>
      <c r="D39" s="196"/>
      <c r="E39" s="28" t="s">
        <v>62</v>
      </c>
      <c r="F39" s="7">
        <v>2</v>
      </c>
      <c r="G39" s="7">
        <v>2</v>
      </c>
      <c r="H39" s="29">
        <f>'[1]TSS (IDE-SF-BM)'!CY8</f>
        <v>15</v>
      </c>
      <c r="I39" s="10">
        <f t="shared" si="0"/>
        <v>30</v>
      </c>
      <c r="J39" s="11">
        <v>2</v>
      </c>
      <c r="K39" s="199"/>
      <c r="L39" s="196"/>
      <c r="M39" s="196"/>
      <c r="N39" s="199"/>
      <c r="O39" s="199"/>
    </row>
    <row r="40" spans="1:15" x14ac:dyDescent="0.35">
      <c r="A40" s="30"/>
      <c r="B40" s="30"/>
      <c r="C40" s="30"/>
      <c r="D40" s="30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</row>
    <row r="41" spans="1:15" x14ac:dyDescent="0.35">
      <c r="A41" s="193" t="s">
        <v>63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</row>
    <row r="42" spans="1:15" x14ac:dyDescent="0.35">
      <c r="A42" s="1" t="s">
        <v>64</v>
      </c>
    </row>
  </sheetData>
  <mergeCells count="59">
    <mergeCell ref="F6:G6"/>
    <mergeCell ref="A8:D8"/>
    <mergeCell ref="E8:G8"/>
    <mergeCell ref="H8:O8"/>
    <mergeCell ref="A9:A10"/>
    <mergeCell ref="B9:B10"/>
    <mergeCell ref="C9:C10"/>
    <mergeCell ref="D9:D10"/>
    <mergeCell ref="E9:E10"/>
    <mergeCell ref="F9:F10"/>
    <mergeCell ref="G9:G10"/>
    <mergeCell ref="H9:J9"/>
    <mergeCell ref="K9:M9"/>
    <mergeCell ref="N9:O9"/>
    <mergeCell ref="A11:A15"/>
    <mergeCell ref="B11:B15"/>
    <mergeCell ref="C11:C15"/>
    <mergeCell ref="D11:D15"/>
    <mergeCell ref="K11:K15"/>
    <mergeCell ref="L11:L15"/>
    <mergeCell ref="M11:M15"/>
    <mergeCell ref="N11:N39"/>
    <mergeCell ref="O11:O39"/>
    <mergeCell ref="A16:A20"/>
    <mergeCell ref="B16:B20"/>
    <mergeCell ref="C16:C20"/>
    <mergeCell ref="D16:D20"/>
    <mergeCell ref="K16:K20"/>
    <mergeCell ref="L16:L20"/>
    <mergeCell ref="M16:M20"/>
    <mergeCell ref="M21:M26"/>
    <mergeCell ref="A27:A29"/>
    <mergeCell ref="B27:B29"/>
    <mergeCell ref="C27:C29"/>
    <mergeCell ref="D27:D29"/>
    <mergeCell ref="K27:K29"/>
    <mergeCell ref="L27:L29"/>
    <mergeCell ref="M27:M29"/>
    <mergeCell ref="A21:A26"/>
    <mergeCell ref="B21:B26"/>
    <mergeCell ref="C21:C26"/>
    <mergeCell ref="D21:D26"/>
    <mergeCell ref="K21:K26"/>
    <mergeCell ref="L21:L26"/>
    <mergeCell ref="A41:O41"/>
    <mergeCell ref="M30:M37"/>
    <mergeCell ref="A38:A39"/>
    <mergeCell ref="B38:B39"/>
    <mergeCell ref="C38:C39"/>
    <mergeCell ref="D38:D39"/>
    <mergeCell ref="K38:K39"/>
    <mergeCell ref="L38:L39"/>
    <mergeCell ref="M38:M39"/>
    <mergeCell ref="A30:A37"/>
    <mergeCell ref="B30:B37"/>
    <mergeCell ref="C30:C37"/>
    <mergeCell ref="D30:D37"/>
    <mergeCell ref="K30:K37"/>
    <mergeCell ref="L30:L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ESFe</dc:creator>
  <cp:lastModifiedBy>Mac Camara</cp:lastModifiedBy>
  <dcterms:created xsi:type="dcterms:W3CDTF">2025-07-22T15:17:31Z</dcterms:created>
  <dcterms:modified xsi:type="dcterms:W3CDTF">2026-06-02T13:06:44Z</dcterms:modified>
</cp:coreProperties>
</file>