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RAE UFHOB-MALI\RAE LALA\"/>
    </mc:Choice>
  </mc:AlternateContent>
  <xr:revisionPtr revIDLastSave="0" documentId="8_{D7BECF74-A8CF-460D-896C-E3719531D4CA}" xr6:coauthVersionLast="47" xr6:coauthVersionMax="47" xr10:uidLastSave="{00000000-0000-0000-0000-000000000000}"/>
  <bookViews>
    <workbookView xWindow="-120" yWindow="-120" windowWidth="20730" windowHeight="11160" firstSheet="9" activeTab="12" xr2:uid="{00000000-000D-0000-FFFF-FFFF00000000}"/>
  </bookViews>
  <sheets>
    <sheet name="EFFECTIFS" sheetId="1" r:id="rId1"/>
    <sheet name="Filles" sheetId="9" r:id="rId2"/>
    <sheet name="Insert Prof IG  DUT" sheetId="14" r:id="rId3"/>
    <sheet name="Insert Prof FC DUT" sheetId="13" r:id="rId4"/>
    <sheet name="Insert Prof FC" sheetId="12" r:id="rId5"/>
    <sheet name="Insert Prof LMC" sheetId="17" r:id="rId6"/>
    <sheet name="Insert Prof GEA" sheetId="15" r:id="rId7"/>
    <sheet name="Insert Prof GRH" sheetId="11" r:id="rId8"/>
    <sheet name="Insert Pro IG" sheetId="8" r:id="rId9"/>
    <sheet name="CM TD TP" sheetId="7" r:id="rId10"/>
    <sheet name="Feuil6" sheetId="6" r:id="rId11"/>
    <sheet name="Feuil3" sheetId="3" r:id="rId12"/>
    <sheet name="Feuil2" sheetId="2" r:id="rId13"/>
    <sheet name="Feuil5" sheetId="5" r:id="rId14"/>
  </sheets>
  <definedNames>
    <definedName name="_Hlk148974274" localSheetId="11">Feuil3!$A$1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7" l="1"/>
  <c r="H9" i="17"/>
  <c r="H10" i="17"/>
  <c r="H7" i="17"/>
  <c r="F8" i="17"/>
  <c r="F9" i="17"/>
  <c r="F10" i="17"/>
  <c r="F7" i="17"/>
  <c r="D8" i="17"/>
  <c r="D9" i="17"/>
  <c r="D10" i="17"/>
  <c r="D7" i="17"/>
  <c r="B8" i="17"/>
  <c r="B9" i="17"/>
  <c r="B10" i="17"/>
  <c r="B7" i="17"/>
  <c r="X4" i="1"/>
  <c r="X5" i="1"/>
  <c r="X6" i="1"/>
  <c r="X7" i="1"/>
  <c r="X8" i="1"/>
  <c r="X9" i="1"/>
  <c r="X10" i="1"/>
  <c r="X11" i="1"/>
  <c r="X12" i="1"/>
  <c r="X13" i="1"/>
  <c r="X14" i="1"/>
  <c r="X3" i="1"/>
  <c r="H8" i="15"/>
  <c r="H9" i="15"/>
  <c r="H10" i="15"/>
  <c r="H7" i="15"/>
  <c r="F8" i="15"/>
  <c r="F9" i="15"/>
  <c r="F10" i="15"/>
  <c r="F7" i="15"/>
  <c r="B8" i="15"/>
  <c r="B9" i="15"/>
  <c r="B10" i="15"/>
  <c r="B7" i="15"/>
  <c r="D10" i="15"/>
  <c r="D9" i="15"/>
  <c r="D8" i="15"/>
  <c r="D7" i="15"/>
  <c r="T4" i="1"/>
  <c r="T5" i="1"/>
  <c r="T6" i="1"/>
  <c r="T7" i="1"/>
  <c r="T8" i="1"/>
  <c r="T9" i="1"/>
  <c r="T10" i="1"/>
  <c r="T11" i="1"/>
  <c r="T12" i="1"/>
  <c r="T13" i="1"/>
  <c r="T14" i="1"/>
  <c r="T3" i="1"/>
  <c r="K20" i="7"/>
  <c r="K21" i="7"/>
  <c r="K19" i="7"/>
  <c r="H8" i="14"/>
  <c r="H9" i="14"/>
  <c r="H10" i="14"/>
  <c r="H7" i="14"/>
  <c r="D8" i="14"/>
  <c r="D9" i="14"/>
  <c r="D10" i="14"/>
  <c r="D7" i="14"/>
  <c r="B8" i="14"/>
  <c r="B9" i="14"/>
  <c r="B10" i="14"/>
  <c r="B7" i="14"/>
  <c r="F10" i="14"/>
  <c r="F9" i="14"/>
  <c r="F8" i="14"/>
  <c r="F7" i="14"/>
  <c r="J56" i="1"/>
  <c r="AG4" i="1"/>
  <c r="AG5" i="1"/>
  <c r="AG6" i="1"/>
  <c r="AG7" i="1"/>
  <c r="AG8" i="1"/>
  <c r="AG9" i="1"/>
  <c r="AG10" i="1"/>
  <c r="AG3" i="1"/>
  <c r="C16" i="7"/>
  <c r="B16" i="7"/>
  <c r="H8" i="13"/>
  <c r="H9" i="13"/>
  <c r="H10" i="13"/>
  <c r="H7" i="13"/>
  <c r="F8" i="13"/>
  <c r="F9" i="13"/>
  <c r="F10" i="13"/>
  <c r="F7" i="13"/>
  <c r="D8" i="13"/>
  <c r="D9" i="13"/>
  <c r="D10" i="13"/>
  <c r="D7" i="13"/>
  <c r="B8" i="13"/>
  <c r="B9" i="13"/>
  <c r="B10" i="13"/>
  <c r="B7" i="13"/>
  <c r="L4" i="1"/>
  <c r="L5" i="1"/>
  <c r="L6" i="1"/>
  <c r="L7" i="1"/>
  <c r="L8" i="1"/>
  <c r="L9" i="1"/>
  <c r="L10" i="1"/>
  <c r="L3" i="1"/>
  <c r="C7" i="7"/>
  <c r="D7" i="7"/>
  <c r="E7" i="7"/>
  <c r="F7" i="7"/>
  <c r="H8" i="12"/>
  <c r="H9" i="12"/>
  <c r="H10" i="12"/>
  <c r="H7" i="12"/>
  <c r="F8" i="12"/>
  <c r="F9" i="12"/>
  <c r="F10" i="12"/>
  <c r="F7" i="12"/>
  <c r="D8" i="12"/>
  <c r="D9" i="12"/>
  <c r="D10" i="12"/>
  <c r="D7" i="12"/>
  <c r="B8" i="12"/>
  <c r="B9" i="12"/>
  <c r="B10" i="12"/>
  <c r="B7" i="12"/>
  <c r="G12" i="9"/>
  <c r="P4" i="1"/>
  <c r="P5" i="1"/>
  <c r="P6" i="1"/>
  <c r="P7" i="1"/>
  <c r="P8" i="1"/>
  <c r="P9" i="1"/>
  <c r="P10" i="1"/>
  <c r="P11" i="1"/>
  <c r="P12" i="1"/>
  <c r="P13" i="1"/>
  <c r="P14" i="1"/>
  <c r="P3" i="1"/>
  <c r="H8" i="11"/>
  <c r="H9" i="11"/>
  <c r="H10" i="11"/>
  <c r="H7" i="11"/>
  <c r="F8" i="11"/>
  <c r="F9" i="11"/>
  <c r="F10" i="11"/>
  <c r="F7" i="11"/>
  <c r="D8" i="11"/>
  <c r="D9" i="11"/>
  <c r="D10" i="11"/>
  <c r="D7" i="11"/>
  <c r="B8" i="11"/>
  <c r="B9" i="11"/>
  <c r="B10" i="11"/>
  <c r="B7" i="11"/>
  <c r="D4" i="1"/>
  <c r="D5" i="1"/>
  <c r="D6" i="1"/>
  <c r="D7" i="1"/>
  <c r="D8" i="1"/>
  <c r="D9" i="1"/>
  <c r="D10" i="1"/>
  <c r="D11" i="1"/>
  <c r="D12" i="1"/>
  <c r="D13" i="1"/>
  <c r="D14" i="1"/>
  <c r="D3" i="1"/>
  <c r="K23" i="7"/>
  <c r="K24" i="7"/>
  <c r="K22" i="7"/>
  <c r="L16" i="7"/>
  <c r="L17" i="7"/>
  <c r="L15" i="7"/>
  <c r="D13" i="7"/>
  <c r="E13" i="7"/>
  <c r="F13" i="7"/>
  <c r="C13" i="7"/>
  <c r="G12" i="7"/>
  <c r="G11" i="7"/>
  <c r="D10" i="7"/>
  <c r="E10" i="7"/>
  <c r="D16" i="7" s="1"/>
  <c r="F10" i="7"/>
  <c r="C10" i="7"/>
  <c r="E23" i="7"/>
  <c r="D23" i="7"/>
  <c r="F23" i="7"/>
  <c r="G8" i="7"/>
  <c r="G9" i="7"/>
  <c r="G6" i="7"/>
  <c r="G5" i="7"/>
  <c r="H8" i="8"/>
  <c r="H9" i="8"/>
  <c r="H10" i="8"/>
  <c r="H7" i="8"/>
  <c r="F8" i="8"/>
  <c r="F9" i="8"/>
  <c r="F10" i="8"/>
  <c r="F7" i="8"/>
  <c r="D9" i="8"/>
  <c r="D8" i="8"/>
  <c r="D10" i="8"/>
  <c r="D7" i="8"/>
  <c r="B8" i="8"/>
  <c r="B9" i="8"/>
  <c r="B10" i="8"/>
  <c r="B7" i="8"/>
  <c r="B4" i="8"/>
  <c r="B7" i="9"/>
  <c r="C7" i="9"/>
  <c r="D7" i="9"/>
  <c r="A7" i="9"/>
  <c r="AB4" i="1"/>
  <c r="AB5" i="1"/>
  <c r="AB6" i="1"/>
  <c r="AB7" i="1"/>
  <c r="AB8" i="1"/>
  <c r="AB9" i="1"/>
  <c r="AB10" i="1"/>
  <c r="AB11" i="1"/>
  <c r="AB12" i="1"/>
  <c r="AB13" i="1"/>
  <c r="AB14" i="1"/>
  <c r="AB3" i="1"/>
  <c r="I4" i="1"/>
  <c r="H4" i="1" s="1"/>
  <c r="I5" i="1"/>
  <c r="B20" i="1" s="1"/>
  <c r="F20" i="1" s="1"/>
  <c r="D3" i="6" s="1"/>
  <c r="I6" i="1"/>
  <c r="B21" i="1" s="1"/>
  <c r="F21" i="1" s="1"/>
  <c r="D4" i="6" s="1"/>
  <c r="I7" i="1"/>
  <c r="H7" i="1" s="1"/>
  <c r="I8" i="1"/>
  <c r="H8" i="1" s="1"/>
  <c r="I9" i="1"/>
  <c r="H9" i="1" s="1"/>
  <c r="I10" i="1"/>
  <c r="B25" i="1" s="1"/>
  <c r="F25" i="1" s="1"/>
  <c r="D8" i="6" s="1"/>
  <c r="I11" i="1"/>
  <c r="H11" i="1" s="1"/>
  <c r="I12" i="1"/>
  <c r="H12" i="1" s="1"/>
  <c r="I13" i="1"/>
  <c r="H13" i="1" s="1"/>
  <c r="I14" i="1"/>
  <c r="B29" i="1" s="1"/>
  <c r="F29" i="1" s="1"/>
  <c r="D12" i="6" s="1"/>
  <c r="I3" i="1"/>
  <c r="B18" i="1" s="1"/>
  <c r="A1" i="6" s="1"/>
  <c r="G15" i="1"/>
  <c r="F15" i="1"/>
  <c r="L1" i="7"/>
  <c r="K1" i="7"/>
  <c r="J1" i="7"/>
  <c r="I1" i="7"/>
  <c r="H1" i="7"/>
  <c r="G1" i="7"/>
  <c r="F1" i="7"/>
  <c r="E1" i="7"/>
  <c r="D1" i="7"/>
  <c r="C1" i="7"/>
  <c r="B1" i="7"/>
  <c r="A1" i="7"/>
  <c r="H5" i="1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C30" i="1"/>
  <c r="B13" i="6" s="1"/>
  <c r="E30" i="1"/>
  <c r="C13" i="6" s="1"/>
  <c r="B24" i="1"/>
  <c r="A7" i="6" s="1"/>
  <c r="A6" i="2"/>
  <c r="H6" i="1" l="1"/>
  <c r="G10" i="7"/>
  <c r="B27" i="1"/>
  <c r="A10" i="6" s="1"/>
  <c r="G13" i="7"/>
  <c r="G7" i="7"/>
  <c r="H14" i="1"/>
  <c r="B28" i="1"/>
  <c r="A11" i="6" s="1"/>
  <c r="H10" i="1"/>
  <c r="B23" i="1"/>
  <c r="F23" i="1" s="1"/>
  <c r="D6" i="6" s="1"/>
  <c r="B19" i="1"/>
  <c r="F27" i="1"/>
  <c r="D10" i="6" s="1"/>
  <c r="A3" i="6"/>
  <c r="I15" i="1"/>
  <c r="H15" i="1" s="1"/>
  <c r="F24" i="1"/>
  <c r="D7" i="6" s="1"/>
  <c r="B22" i="1"/>
  <c r="B26" i="1"/>
  <c r="H3" i="1"/>
  <c r="A12" i="6"/>
  <c r="A8" i="6"/>
  <c r="A4" i="6"/>
  <c r="F18" i="1"/>
  <c r="D1" i="6" s="1"/>
  <c r="B34" i="1"/>
  <c r="B33" i="1" l="1"/>
  <c r="F28" i="1"/>
  <c r="D11" i="6" s="1"/>
  <c r="A6" i="6"/>
  <c r="B32" i="1"/>
  <c r="B31" i="1"/>
  <c r="F26" i="1"/>
  <c r="D9" i="6" s="1"/>
  <c r="A9" i="6"/>
  <c r="F22" i="1"/>
  <c r="D5" i="6" s="1"/>
  <c r="A5" i="6"/>
  <c r="B30" i="1"/>
  <c r="F19" i="1"/>
  <c r="D2" i="6" s="1"/>
  <c r="A2" i="6"/>
  <c r="B35" i="1" l="1"/>
  <c r="F30" i="1"/>
  <c r="D13" i="6" s="1"/>
  <c r="A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D1AE9DC-E43E-4B52-9898-2B16A7F8006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3168BF87-EDE8-4925-AF6A-81DF8CA8BDD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sharedStrings.xml><?xml version="1.0" encoding="utf-8"?>
<sst xmlns="http://schemas.openxmlformats.org/spreadsheetml/2006/main" count="271" uniqueCount="120">
  <si>
    <t>Total</t>
  </si>
  <si>
    <t>Licence 1</t>
  </si>
  <si>
    <t>Licence 2</t>
  </si>
  <si>
    <t>Licence 3</t>
  </si>
  <si>
    <t>Master 1</t>
  </si>
  <si>
    <t>Master 2</t>
  </si>
  <si>
    <t>Conventions de partenariats avec certains organismes du monde socioprofessionnel</t>
  </si>
  <si>
    <r>
      <t>Convocation</t>
    </r>
    <r>
      <rPr>
        <sz val="11"/>
        <color rgb="FF000000"/>
        <rFont val="Times New Roman"/>
        <family val="1"/>
      </rPr>
      <t xml:space="preserve">, </t>
    </r>
    <r>
      <rPr>
        <sz val="11"/>
        <color rgb="FFC00000"/>
        <rFont val="Times New Roman"/>
        <family val="1"/>
      </rPr>
      <t>rapport de validation et liste de présence des membres des commissions d’élaboration du programme</t>
    </r>
  </si>
  <si>
    <t>Référentiel-développement-SI-CAMES 41</t>
  </si>
  <si>
    <t>Décret N° 790/P-RM/du 31 Déc. 2008, Portant Institution du système LMD dans l’enseignement Supérieur au Mali</t>
  </si>
  <si>
    <t>Cadre organique de l’EPSFé</t>
  </si>
  <si>
    <t>Actes de nomination des membres de l’équipe pédagogique</t>
  </si>
  <si>
    <t xml:space="preserve">Règlements intérieurs   </t>
  </si>
  <si>
    <r>
      <t>Listes de présence des étudiants</t>
    </r>
    <r>
      <rPr>
        <b/>
        <sz val="12"/>
        <color rgb="FF00B050"/>
        <rFont val="Times New Roman"/>
        <family val="1"/>
      </rPr>
      <t xml:space="preserve"> </t>
    </r>
    <r>
      <rPr>
        <sz val="12"/>
        <color rgb="FF00B050"/>
        <rFont val="Times New Roman"/>
        <family val="1"/>
      </rPr>
      <t>aux évaluations</t>
    </r>
  </si>
  <si>
    <t>Cahier de suivi</t>
  </si>
  <si>
    <t>Rapport de sondage ou de la scolarité</t>
  </si>
  <si>
    <t>Plan de communication</t>
  </si>
  <si>
    <t>Fiche d’évaluation des enseignements par les étudiants</t>
  </si>
  <si>
    <t>Rapport sur les résultats de l’évaluation des enseignements par les étudiants</t>
  </si>
  <si>
    <r>
      <t>Organisation semestrielle du parcours de l’offre en Unités d’enseignement(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</si>
  <si>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r>
      <t>Descriptif du syllabus(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</si>
  <si>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t>CV des enseignants chercheurs</t>
  </si>
  <si>
    <t>Fiche de postes</t>
  </si>
  <si>
    <t>Contrat de prestation</t>
  </si>
  <si>
    <t>Liste des enseignants issus du monde industriel</t>
  </si>
  <si>
    <t xml:space="preserve">Liste des Infrastructures </t>
  </si>
  <si>
    <t>Liste des équipements</t>
  </si>
  <si>
    <r>
      <t>Rapport activités académiques</t>
    </r>
    <r>
      <rPr>
        <sz val="11"/>
        <color rgb="FF000000"/>
        <rFont val="Times New Roman"/>
        <family val="1"/>
      </rPr>
      <t>(Dr SANOGO)</t>
    </r>
  </si>
  <si>
    <t>Carnet des stages</t>
  </si>
  <si>
    <t>Monsieur</t>
  </si>
  <si>
    <t>BERTE Yacouba</t>
  </si>
  <si>
    <t>Directeur des Etudes</t>
  </si>
  <si>
    <t>BERTHE Ahmadou</t>
  </si>
  <si>
    <t>Responsable qualité de la formation</t>
  </si>
  <si>
    <t>NIARE Issa</t>
  </si>
  <si>
    <t>Surveillant Général</t>
  </si>
  <si>
    <t>Madame</t>
  </si>
  <si>
    <t>SOGOBA Rokiatou</t>
  </si>
  <si>
    <t>Gestion et comptabilité</t>
  </si>
  <si>
    <t>DOUMBIA Moussa</t>
  </si>
  <si>
    <t>Moniteur</t>
  </si>
  <si>
    <t>DIABY Fatoumata</t>
  </si>
  <si>
    <t>Monitrice</t>
  </si>
  <si>
    <t>SAVADOGO Salimata</t>
  </si>
  <si>
    <t>Assistante de Direction</t>
  </si>
  <si>
    <t>HALAM Falla dit Abba</t>
  </si>
  <si>
    <t>Responsable bureautique et informatique</t>
  </si>
  <si>
    <t>Professeur</t>
  </si>
  <si>
    <t>Représentant du bureau des étudiants</t>
  </si>
  <si>
    <t>Parent d’étudiant</t>
  </si>
  <si>
    <t>SIDIBE Drissa</t>
  </si>
  <si>
    <t>DICKO Abderhamane</t>
  </si>
  <si>
    <t>TOGO Mohamed</t>
  </si>
  <si>
    <t>TRAORE Yaya</t>
  </si>
  <si>
    <t>DIALLO Baba</t>
  </si>
  <si>
    <t>AG OUFENE Al housseini</t>
  </si>
  <si>
    <t>CISSE Oumou</t>
  </si>
  <si>
    <t>TRAORE Amadou</t>
  </si>
  <si>
    <t>KONE Korotimi</t>
  </si>
  <si>
    <t>KEITA Siriman</t>
  </si>
  <si>
    <t>Informatique de gestion</t>
  </si>
  <si>
    <t>Gestion des ressources humaines</t>
  </si>
  <si>
    <t>Réseaux &amp; télécom</t>
  </si>
  <si>
    <t>Finance comptabilité</t>
  </si>
  <si>
    <t>Gestion des entreprises et administrations</t>
  </si>
  <si>
    <t>Marketing communication</t>
  </si>
  <si>
    <t>Informatique de gestion(DUT)</t>
  </si>
  <si>
    <t>Finance comptabilité(DUT)</t>
  </si>
  <si>
    <t>Garçon</t>
  </si>
  <si>
    <t>Fille</t>
  </si>
  <si>
    <t>Maliens</t>
  </si>
  <si>
    <t>Etrangers</t>
  </si>
  <si>
    <t>Licence I(2019-2020)</t>
  </si>
  <si>
    <t>Licence I(2020-2021)</t>
  </si>
  <si>
    <t>Licence I(2021-2022)</t>
  </si>
  <si>
    <t>Licence I(2022-2023)</t>
  </si>
  <si>
    <t>Licence II(2019-2020)</t>
  </si>
  <si>
    <t>Licence II(2020-2021)</t>
  </si>
  <si>
    <t>Licence II(2021-2022)</t>
  </si>
  <si>
    <t>Licence II(2022-2023)</t>
  </si>
  <si>
    <t>Licence III(2019-2020)</t>
  </si>
  <si>
    <t>Licence III(2020-2021)</t>
  </si>
  <si>
    <t>Licence III(2021-2022)</t>
  </si>
  <si>
    <t>Licence III(2022-2023)</t>
  </si>
  <si>
    <t>2019-2020</t>
  </si>
  <si>
    <t>2020-2021</t>
  </si>
  <si>
    <t>2021-2022</t>
  </si>
  <si>
    <t>2022-2023</t>
  </si>
  <si>
    <t>M</t>
  </si>
  <si>
    <t>E</t>
  </si>
  <si>
    <t>Pourcentage</t>
  </si>
  <si>
    <t>Année univ.</t>
  </si>
  <si>
    <t>Nbr. inscrits L1</t>
  </si>
  <si>
    <t>Nbre inscrits L2</t>
  </si>
  <si>
    <t>Nbr. inscrits L3</t>
  </si>
  <si>
    <t xml:space="preserve">Nbr. total inscrits </t>
  </si>
  <si>
    <t>Recherche d'emploi</t>
  </si>
  <si>
    <t>En emploi</t>
  </si>
  <si>
    <t>En étude</t>
  </si>
  <si>
    <t>En emploi et en étude</t>
  </si>
  <si>
    <t>Semestre I</t>
  </si>
  <si>
    <t>Semestre II</t>
  </si>
  <si>
    <t>L1</t>
  </si>
  <si>
    <t>L2</t>
  </si>
  <si>
    <t>L3</t>
  </si>
  <si>
    <t>Semestre III</t>
  </si>
  <si>
    <t>Semestre IV</t>
  </si>
  <si>
    <t>Semestre V</t>
  </si>
  <si>
    <t>Semestre VI</t>
  </si>
  <si>
    <t>CM</t>
  </si>
  <si>
    <t>TD</t>
  </si>
  <si>
    <t>TP</t>
  </si>
  <si>
    <t>CE</t>
  </si>
  <si>
    <t>Projet tutoré</t>
  </si>
  <si>
    <t>Stage</t>
  </si>
  <si>
    <t>Nbr. inscrits D2</t>
  </si>
  <si>
    <t>11 soit 20%</t>
  </si>
  <si>
    <t>13 soit 38.88%</t>
  </si>
  <si>
    <t>15 soit 38.46%</t>
  </si>
  <si>
    <t>9 soit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</si>
</sst>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B05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textRotation="90" wrapText="1"/>
    </xf>
    <xf numFmtId="43" fontId="0" fillId="0" borderId="0" xfId="1" applyFont="1"/>
    <xf numFmtId="0" fontId="0" fillId="2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Feuil6!$A$1:$A$13</c:f>
              <c:numCache>
                <c:formatCode>General</c:formatCode>
                <c:ptCount val="13"/>
                <c:pt idx="0">
                  <c:v>64</c:v>
                </c:pt>
                <c:pt idx="1">
                  <c:v>71</c:v>
                </c:pt>
                <c:pt idx="2">
                  <c:v>83</c:v>
                </c:pt>
                <c:pt idx="3">
                  <c:v>100</c:v>
                </c:pt>
                <c:pt idx="4">
                  <c:v>55</c:v>
                </c:pt>
                <c:pt idx="5">
                  <c:v>64</c:v>
                </c:pt>
                <c:pt idx="6">
                  <c:v>70</c:v>
                </c:pt>
                <c:pt idx="7">
                  <c:v>83</c:v>
                </c:pt>
                <c:pt idx="8">
                  <c:v>20</c:v>
                </c:pt>
                <c:pt idx="9">
                  <c:v>41</c:v>
                </c:pt>
                <c:pt idx="10">
                  <c:v>46</c:v>
                </c:pt>
                <c:pt idx="11">
                  <c:v>50</c:v>
                </c:pt>
                <c:pt idx="12">
                  <c:v>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18-9247-D81BB806DC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Feuil6!$B$1:$B$13</c:f>
              <c:numCache>
                <c:formatCode>General</c:formatCode>
                <c:ptCount val="13"/>
                <c:pt idx="0">
                  <c:v>57</c:v>
                </c:pt>
                <c:pt idx="1">
                  <c:v>63</c:v>
                </c:pt>
                <c:pt idx="2">
                  <c:v>79</c:v>
                </c:pt>
                <c:pt idx="3">
                  <c:v>89</c:v>
                </c:pt>
                <c:pt idx="4">
                  <c:v>50</c:v>
                </c:pt>
                <c:pt idx="5">
                  <c:v>57</c:v>
                </c:pt>
                <c:pt idx="6">
                  <c:v>63</c:v>
                </c:pt>
                <c:pt idx="7">
                  <c:v>79</c:v>
                </c:pt>
                <c:pt idx="8">
                  <c:v>19</c:v>
                </c:pt>
                <c:pt idx="9">
                  <c:v>36</c:v>
                </c:pt>
                <c:pt idx="10">
                  <c:v>39</c:v>
                </c:pt>
                <c:pt idx="11">
                  <c:v>43</c:v>
                </c:pt>
                <c:pt idx="12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18-9247-D81BB806DC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Feuil6!$C$1:$C$13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918-9247-D81BB806DC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Feuil6!$D$1:$D$13</c:f>
              <c:numCache>
                <c:formatCode>General</c:formatCode>
                <c:ptCount val="13"/>
                <c:pt idx="0">
                  <c:v>10.9375</c:v>
                </c:pt>
                <c:pt idx="1">
                  <c:v>11.267605633802816</c:v>
                </c:pt>
                <c:pt idx="2">
                  <c:v>4.8192771084337354</c:v>
                </c:pt>
                <c:pt idx="3">
                  <c:v>11</c:v>
                </c:pt>
                <c:pt idx="4">
                  <c:v>9.0909090909090917</c:v>
                </c:pt>
                <c:pt idx="5">
                  <c:v>10.9375</c:v>
                </c:pt>
                <c:pt idx="6">
                  <c:v>11.428571428571429</c:v>
                </c:pt>
                <c:pt idx="7">
                  <c:v>4.8192771084337354</c:v>
                </c:pt>
                <c:pt idx="8">
                  <c:v>5</c:v>
                </c:pt>
                <c:pt idx="9">
                  <c:v>12.195121951219512</c:v>
                </c:pt>
                <c:pt idx="10">
                  <c:v>15.217391304347826</c:v>
                </c:pt>
                <c:pt idx="11">
                  <c:v>16</c:v>
                </c:pt>
                <c:pt idx="12">
                  <c:v>10.040160642570282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918-9247-D81BB806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88688"/>
        <c:axId val="1551089168"/>
      </c:lineChart>
      <c:catAx>
        <c:axId val="1551088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9168"/>
        <c:crosses val="autoZero"/>
        <c:auto val="1"/>
        <c:lblAlgn val="ctr"/>
        <c:lblOffset val="100"/>
        <c:noMultiLvlLbl val="0"/>
      </c:catAx>
      <c:valAx>
        <c:axId val="15510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B7C1C-137F-E731-228A-C84EB9EC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opLeftCell="D1" zoomScaleNormal="100" workbookViewId="0">
      <selection activeCell="W3" sqref="W3:X14"/>
    </sheetView>
  </sheetViews>
  <sheetFormatPr baseColWidth="10" defaultColWidth="9.140625" defaultRowHeight="15" x14ac:dyDescent="0.25"/>
  <cols>
    <col min="1" max="1" width="19.5703125" customWidth="1"/>
    <col min="2" max="3" width="4.5703125" customWidth="1"/>
    <col min="4" max="4" width="5.42578125" customWidth="1"/>
    <col min="5" max="5" width="4.5703125" customWidth="1"/>
    <col min="6" max="6" width="10.28515625" customWidth="1"/>
    <col min="7" max="7" width="4.5703125" customWidth="1"/>
    <col min="8" max="8" width="6.7109375" customWidth="1"/>
    <col min="9" max="9" width="4.5703125" customWidth="1"/>
    <col min="10" max="10" width="7.140625" customWidth="1"/>
    <col min="11" max="11" width="4.5703125" customWidth="1"/>
    <col min="12" max="12" width="10" customWidth="1"/>
    <col min="13" max="15" width="4.5703125" customWidth="1"/>
    <col min="16" max="16" width="6" customWidth="1"/>
    <col min="17" max="19" width="4.5703125" customWidth="1"/>
    <col min="20" max="20" width="6.140625" customWidth="1"/>
    <col min="21" max="23" width="4.5703125" customWidth="1"/>
    <col min="24" max="24" width="11.42578125" customWidth="1"/>
    <col min="25" max="27" width="4.5703125" customWidth="1"/>
    <col min="28" max="29" width="5.85546875" customWidth="1"/>
    <col min="30" max="30" width="4.5703125" customWidth="1"/>
    <col min="31" max="31" width="1.5703125" customWidth="1"/>
    <col min="32" max="32" width="5.28515625" customWidth="1"/>
    <col min="33" max="33" width="9.5703125" customWidth="1"/>
    <col min="34" max="34" width="4.5703125" customWidth="1"/>
    <col min="35" max="35" width="12.42578125" customWidth="1"/>
  </cols>
  <sheetData>
    <row r="1" spans="1:34" ht="77.25" customHeight="1" x14ac:dyDescent="0.25">
      <c r="B1" s="32" t="s">
        <v>61</v>
      </c>
      <c r="C1" s="32"/>
      <c r="D1" s="32"/>
      <c r="E1" s="32"/>
      <c r="F1" s="32" t="s">
        <v>62</v>
      </c>
      <c r="G1" s="32"/>
      <c r="H1" s="32"/>
      <c r="I1" s="32"/>
      <c r="J1" s="32" t="s">
        <v>67</v>
      </c>
      <c r="K1" s="32"/>
      <c r="L1" s="32"/>
      <c r="M1" s="32"/>
      <c r="N1" s="32" t="s">
        <v>63</v>
      </c>
      <c r="O1" s="32"/>
      <c r="P1" s="32"/>
      <c r="Q1" s="32"/>
      <c r="R1" s="32" t="s">
        <v>64</v>
      </c>
      <c r="S1" s="32"/>
      <c r="T1" s="32"/>
      <c r="U1" s="32"/>
      <c r="V1" s="32" t="s">
        <v>65</v>
      </c>
      <c r="W1" s="32"/>
      <c r="X1" s="32"/>
      <c r="Y1" s="32"/>
      <c r="Z1" s="32" t="s">
        <v>60</v>
      </c>
      <c r="AA1" s="32"/>
      <c r="AB1" s="32"/>
      <c r="AC1" s="32"/>
      <c r="AD1" s="32"/>
      <c r="AE1" s="32" t="s">
        <v>66</v>
      </c>
      <c r="AF1" s="32"/>
      <c r="AG1" s="32"/>
      <c r="AH1" s="32"/>
    </row>
    <row r="2" spans="1:34" ht="48.75" customHeight="1" x14ac:dyDescent="0.25">
      <c r="B2" s="9" t="s">
        <v>68</v>
      </c>
      <c r="C2" s="9" t="s">
        <v>69</v>
      </c>
      <c r="D2" s="9"/>
      <c r="E2" s="9" t="s">
        <v>0</v>
      </c>
      <c r="F2" s="9" t="s">
        <v>68</v>
      </c>
      <c r="G2" s="9" t="s">
        <v>69</v>
      </c>
      <c r="H2" s="9"/>
      <c r="I2" s="9" t="s">
        <v>0</v>
      </c>
      <c r="J2" s="9" t="s">
        <v>68</v>
      </c>
      <c r="K2" s="9" t="s">
        <v>69</v>
      </c>
      <c r="L2" s="9"/>
      <c r="M2" s="9" t="s">
        <v>0</v>
      </c>
      <c r="N2" s="9" t="s">
        <v>68</v>
      </c>
      <c r="O2" s="9" t="s">
        <v>69</v>
      </c>
      <c r="P2" s="9"/>
      <c r="Q2" s="9" t="s">
        <v>0</v>
      </c>
      <c r="R2" s="9" t="s">
        <v>68</v>
      </c>
      <c r="S2" s="9" t="s">
        <v>69</v>
      </c>
      <c r="T2" s="9"/>
      <c r="U2" s="9" t="s">
        <v>0</v>
      </c>
      <c r="V2" s="9" t="s">
        <v>68</v>
      </c>
      <c r="W2" s="9" t="s">
        <v>69</v>
      </c>
      <c r="X2" s="9"/>
      <c r="Y2" s="9" t="s">
        <v>0</v>
      </c>
      <c r="Z2" s="9" t="s">
        <v>68</v>
      </c>
      <c r="AA2" s="9" t="s">
        <v>69</v>
      </c>
      <c r="AB2" s="9"/>
      <c r="AC2" s="9"/>
      <c r="AD2" s="9" t="s">
        <v>0</v>
      </c>
      <c r="AE2" s="9" t="s">
        <v>68</v>
      </c>
      <c r="AF2" s="9" t="s">
        <v>69</v>
      </c>
      <c r="AG2" s="9"/>
      <c r="AH2" s="9" t="s">
        <v>0</v>
      </c>
    </row>
    <row r="3" spans="1:34" x14ac:dyDescent="0.25">
      <c r="A3" t="s">
        <v>72</v>
      </c>
      <c r="B3">
        <v>2</v>
      </c>
      <c r="C3">
        <v>5</v>
      </c>
      <c r="D3">
        <f>(C3*100)/E3</f>
        <v>71.428571428571431</v>
      </c>
      <c r="E3">
        <v>7</v>
      </c>
      <c r="F3">
        <v>3</v>
      </c>
      <c r="G3">
        <v>3</v>
      </c>
      <c r="H3">
        <f>(G3*100)/I3</f>
        <v>50</v>
      </c>
      <c r="I3">
        <f>F3+G3</f>
        <v>6</v>
      </c>
      <c r="J3">
        <v>5</v>
      </c>
      <c r="K3">
        <v>1</v>
      </c>
      <c r="L3">
        <f>(K3*100)/M3</f>
        <v>16.666666666666668</v>
      </c>
      <c r="M3">
        <v>6</v>
      </c>
      <c r="N3">
        <v>4</v>
      </c>
      <c r="O3">
        <v>5</v>
      </c>
      <c r="P3">
        <f>(O3*100)/Q3</f>
        <v>55.555555555555557</v>
      </c>
      <c r="Q3">
        <v>9</v>
      </c>
      <c r="R3">
        <v>3</v>
      </c>
      <c r="S3">
        <v>8</v>
      </c>
      <c r="T3">
        <f>(S3*100)/11</f>
        <v>72.727272727272734</v>
      </c>
      <c r="U3">
        <v>11</v>
      </c>
      <c r="V3">
        <v>1</v>
      </c>
      <c r="W3">
        <v>9</v>
      </c>
      <c r="X3">
        <f>(W3*100)/Y3</f>
        <v>90</v>
      </c>
      <c r="Y3">
        <v>10</v>
      </c>
      <c r="Z3">
        <v>3</v>
      </c>
      <c r="AA3">
        <v>0</v>
      </c>
      <c r="AB3">
        <f t="shared" ref="AB3:AB12" si="0">(AA3*100)/AD3</f>
        <v>0</v>
      </c>
      <c r="AD3">
        <v>3</v>
      </c>
      <c r="AE3">
        <v>5</v>
      </c>
      <c r="AF3">
        <v>7</v>
      </c>
      <c r="AG3">
        <f>(AF3*100)/AH3</f>
        <v>58.333333333333336</v>
      </c>
      <c r="AH3">
        <v>12</v>
      </c>
    </row>
    <row r="4" spans="1:34" x14ac:dyDescent="0.25">
      <c r="A4" t="s">
        <v>73</v>
      </c>
      <c r="B4">
        <v>3</v>
      </c>
      <c r="C4">
        <v>3</v>
      </c>
      <c r="D4">
        <f t="shared" ref="D4:D14" si="1">(C4*100)/E4</f>
        <v>50</v>
      </c>
      <c r="E4">
        <v>6</v>
      </c>
      <c r="F4">
        <v>7</v>
      </c>
      <c r="G4">
        <v>0</v>
      </c>
      <c r="H4">
        <f t="shared" ref="H4:H15" si="2">(G4*100)/I4</f>
        <v>0</v>
      </c>
      <c r="I4">
        <f t="shared" ref="I4:I14" si="3">F4+G4</f>
        <v>7</v>
      </c>
      <c r="J4">
        <v>4</v>
      </c>
      <c r="K4">
        <v>6</v>
      </c>
      <c r="L4">
        <f t="shared" ref="L4:L10" si="4">(K4*100)/M4</f>
        <v>60</v>
      </c>
      <c r="M4">
        <v>10</v>
      </c>
      <c r="N4">
        <v>8</v>
      </c>
      <c r="O4">
        <v>5</v>
      </c>
      <c r="P4">
        <f t="shared" ref="P4:P14" si="5">(O4*100)/Q4</f>
        <v>38.46153846153846</v>
      </c>
      <c r="Q4">
        <v>13</v>
      </c>
      <c r="R4">
        <v>1</v>
      </c>
      <c r="S4">
        <v>4</v>
      </c>
      <c r="T4">
        <f t="shared" ref="T4:T14" si="6">(S4*100)/11</f>
        <v>36.363636363636367</v>
      </c>
      <c r="U4">
        <v>5</v>
      </c>
      <c r="V4">
        <v>3</v>
      </c>
      <c r="W4">
        <v>6</v>
      </c>
      <c r="X4">
        <f t="shared" ref="X4:X14" si="7">(W4*100)/Y4</f>
        <v>66.666666666666671</v>
      </c>
      <c r="Y4">
        <v>9</v>
      </c>
      <c r="Z4">
        <v>5</v>
      </c>
      <c r="AA4">
        <v>6</v>
      </c>
      <c r="AB4">
        <f t="shared" si="0"/>
        <v>54.545454545454547</v>
      </c>
      <c r="AD4">
        <v>11</v>
      </c>
      <c r="AE4">
        <v>2</v>
      </c>
      <c r="AF4">
        <v>8</v>
      </c>
      <c r="AG4">
        <f t="shared" ref="AG4:AG10" si="8">(AF4*100)/AH4</f>
        <v>80</v>
      </c>
      <c r="AH4">
        <v>10</v>
      </c>
    </row>
    <row r="5" spans="1:34" x14ac:dyDescent="0.25">
      <c r="A5" t="s">
        <v>74</v>
      </c>
      <c r="B5">
        <v>1</v>
      </c>
      <c r="C5">
        <v>5</v>
      </c>
      <c r="D5">
        <f t="shared" si="1"/>
        <v>83.333333333333329</v>
      </c>
      <c r="E5">
        <v>6</v>
      </c>
      <c r="F5">
        <v>9</v>
      </c>
      <c r="G5">
        <v>5</v>
      </c>
      <c r="H5">
        <f t="shared" si="2"/>
        <v>35.714285714285715</v>
      </c>
      <c r="I5">
        <f t="shared" si="3"/>
        <v>14</v>
      </c>
      <c r="J5">
        <v>3</v>
      </c>
      <c r="K5">
        <v>4</v>
      </c>
      <c r="L5">
        <f t="shared" si="4"/>
        <v>57.142857142857146</v>
      </c>
      <c r="M5">
        <v>7</v>
      </c>
      <c r="N5">
        <v>6</v>
      </c>
      <c r="O5">
        <v>3</v>
      </c>
      <c r="P5">
        <f t="shared" si="5"/>
        <v>33.333333333333336</v>
      </c>
      <c r="Q5">
        <v>9</v>
      </c>
      <c r="R5">
        <v>10</v>
      </c>
      <c r="S5">
        <v>3</v>
      </c>
      <c r="T5">
        <f t="shared" si="6"/>
        <v>27.272727272727273</v>
      </c>
      <c r="U5">
        <v>13</v>
      </c>
      <c r="V5">
        <v>3</v>
      </c>
      <c r="W5">
        <v>4</v>
      </c>
      <c r="X5">
        <f t="shared" si="7"/>
        <v>57.142857142857146</v>
      </c>
      <c r="Y5">
        <v>7</v>
      </c>
      <c r="Z5">
        <v>8</v>
      </c>
      <c r="AA5">
        <v>4</v>
      </c>
      <c r="AB5">
        <f t="shared" si="0"/>
        <v>33.333333333333336</v>
      </c>
      <c r="AD5">
        <v>12</v>
      </c>
      <c r="AE5">
        <v>9</v>
      </c>
      <c r="AF5">
        <v>6</v>
      </c>
      <c r="AG5">
        <f t="shared" si="8"/>
        <v>40</v>
      </c>
      <c r="AH5">
        <v>15</v>
      </c>
    </row>
    <row r="6" spans="1:34" x14ac:dyDescent="0.25">
      <c r="A6" t="s">
        <v>75</v>
      </c>
      <c r="B6">
        <v>6</v>
      </c>
      <c r="C6">
        <v>7</v>
      </c>
      <c r="D6">
        <f t="shared" si="1"/>
        <v>53.846153846153847</v>
      </c>
      <c r="E6">
        <v>13</v>
      </c>
      <c r="F6">
        <v>11</v>
      </c>
      <c r="G6">
        <v>4</v>
      </c>
      <c r="H6">
        <f t="shared" si="2"/>
        <v>26.666666666666668</v>
      </c>
      <c r="I6">
        <f t="shared" si="3"/>
        <v>15</v>
      </c>
      <c r="J6">
        <v>4</v>
      </c>
      <c r="K6">
        <v>8</v>
      </c>
      <c r="L6">
        <f t="shared" si="4"/>
        <v>66.666666666666671</v>
      </c>
      <c r="M6">
        <v>12</v>
      </c>
      <c r="N6">
        <v>5</v>
      </c>
      <c r="O6">
        <v>8</v>
      </c>
      <c r="P6">
        <f t="shared" si="5"/>
        <v>61.53846153846154</v>
      </c>
      <c r="Q6">
        <v>13</v>
      </c>
      <c r="R6">
        <v>6</v>
      </c>
      <c r="S6">
        <v>2</v>
      </c>
      <c r="T6">
        <f t="shared" si="6"/>
        <v>18.181818181818183</v>
      </c>
      <c r="U6">
        <v>8</v>
      </c>
      <c r="V6">
        <v>7</v>
      </c>
      <c r="W6">
        <v>9</v>
      </c>
      <c r="X6">
        <f t="shared" si="7"/>
        <v>56.25</v>
      </c>
      <c r="Y6">
        <v>16</v>
      </c>
      <c r="Z6">
        <v>6</v>
      </c>
      <c r="AA6">
        <v>6</v>
      </c>
      <c r="AB6">
        <f t="shared" si="0"/>
        <v>50</v>
      </c>
      <c r="AD6">
        <v>12</v>
      </c>
      <c r="AE6">
        <v>4</v>
      </c>
      <c r="AF6">
        <v>7</v>
      </c>
      <c r="AG6">
        <f t="shared" si="8"/>
        <v>63.636363636363633</v>
      </c>
      <c r="AH6">
        <v>11</v>
      </c>
    </row>
    <row r="7" spans="1:34" x14ac:dyDescent="0.25">
      <c r="A7" t="s">
        <v>76</v>
      </c>
      <c r="B7">
        <v>4</v>
      </c>
      <c r="C7">
        <v>1</v>
      </c>
      <c r="D7">
        <f t="shared" si="1"/>
        <v>20</v>
      </c>
      <c r="E7">
        <v>5</v>
      </c>
      <c r="F7">
        <v>8</v>
      </c>
      <c r="G7">
        <v>2</v>
      </c>
      <c r="H7">
        <f t="shared" si="2"/>
        <v>20</v>
      </c>
      <c r="I7">
        <f t="shared" si="3"/>
        <v>10</v>
      </c>
      <c r="J7">
        <v>4</v>
      </c>
      <c r="K7">
        <v>4</v>
      </c>
      <c r="L7">
        <f t="shared" si="4"/>
        <v>50</v>
      </c>
      <c r="M7">
        <v>8</v>
      </c>
      <c r="N7">
        <v>3</v>
      </c>
      <c r="O7">
        <v>6</v>
      </c>
      <c r="P7">
        <f t="shared" si="5"/>
        <v>66.666666666666671</v>
      </c>
      <c r="Q7">
        <v>9</v>
      </c>
      <c r="R7">
        <v>4</v>
      </c>
      <c r="S7">
        <v>1</v>
      </c>
      <c r="T7">
        <f t="shared" si="6"/>
        <v>9.0909090909090917</v>
      </c>
      <c r="U7">
        <v>5</v>
      </c>
      <c r="V7">
        <v>2</v>
      </c>
      <c r="W7">
        <v>6</v>
      </c>
      <c r="X7">
        <f t="shared" si="7"/>
        <v>75</v>
      </c>
      <c r="Y7">
        <v>8</v>
      </c>
      <c r="Z7">
        <v>3</v>
      </c>
      <c r="AA7">
        <v>1</v>
      </c>
      <c r="AB7">
        <f t="shared" si="0"/>
        <v>25</v>
      </c>
      <c r="AD7">
        <v>4</v>
      </c>
      <c r="AE7">
        <v>6</v>
      </c>
      <c r="AF7">
        <v>0</v>
      </c>
      <c r="AG7">
        <f t="shared" si="8"/>
        <v>0</v>
      </c>
      <c r="AH7">
        <v>6</v>
      </c>
    </row>
    <row r="8" spans="1:34" x14ac:dyDescent="0.25">
      <c r="A8" t="s">
        <v>77</v>
      </c>
      <c r="B8">
        <v>2</v>
      </c>
      <c r="C8">
        <v>5</v>
      </c>
      <c r="D8">
        <f t="shared" si="1"/>
        <v>71.428571428571431</v>
      </c>
      <c r="E8">
        <v>7</v>
      </c>
      <c r="F8">
        <v>3</v>
      </c>
      <c r="G8">
        <v>3</v>
      </c>
      <c r="H8">
        <f t="shared" si="2"/>
        <v>50</v>
      </c>
      <c r="I8">
        <f t="shared" si="3"/>
        <v>6</v>
      </c>
      <c r="J8">
        <v>5</v>
      </c>
      <c r="K8">
        <v>1</v>
      </c>
      <c r="L8">
        <f t="shared" si="4"/>
        <v>16.666666666666668</v>
      </c>
      <c r="M8">
        <v>6</v>
      </c>
      <c r="N8">
        <v>4</v>
      </c>
      <c r="O8">
        <v>5</v>
      </c>
      <c r="P8">
        <f t="shared" si="5"/>
        <v>55.555555555555557</v>
      </c>
      <c r="Q8">
        <v>9</v>
      </c>
      <c r="R8">
        <v>3</v>
      </c>
      <c r="S8">
        <v>8</v>
      </c>
      <c r="T8">
        <f t="shared" si="6"/>
        <v>72.727272727272734</v>
      </c>
      <c r="U8">
        <v>11</v>
      </c>
      <c r="V8">
        <v>1</v>
      </c>
      <c r="W8">
        <v>9</v>
      </c>
      <c r="X8">
        <f t="shared" si="7"/>
        <v>90</v>
      </c>
      <c r="Y8">
        <v>10</v>
      </c>
      <c r="Z8">
        <v>3</v>
      </c>
      <c r="AA8">
        <v>0</v>
      </c>
      <c r="AB8">
        <f t="shared" si="0"/>
        <v>0</v>
      </c>
      <c r="AD8">
        <v>3</v>
      </c>
      <c r="AE8">
        <v>5</v>
      </c>
      <c r="AF8">
        <v>7</v>
      </c>
      <c r="AG8">
        <f t="shared" si="8"/>
        <v>58.333333333333336</v>
      </c>
      <c r="AH8">
        <v>12</v>
      </c>
    </row>
    <row r="9" spans="1:34" x14ac:dyDescent="0.25">
      <c r="A9" t="s">
        <v>78</v>
      </c>
      <c r="B9">
        <v>3</v>
      </c>
      <c r="C9">
        <v>3</v>
      </c>
      <c r="D9">
        <f t="shared" si="1"/>
        <v>50</v>
      </c>
      <c r="E9">
        <v>6</v>
      </c>
      <c r="F9">
        <v>6</v>
      </c>
      <c r="G9">
        <v>0</v>
      </c>
      <c r="H9">
        <f t="shared" si="2"/>
        <v>0</v>
      </c>
      <c r="I9">
        <f t="shared" si="3"/>
        <v>6</v>
      </c>
      <c r="J9">
        <v>4</v>
      </c>
      <c r="K9">
        <v>6</v>
      </c>
      <c r="L9">
        <f t="shared" si="4"/>
        <v>60</v>
      </c>
      <c r="M9">
        <v>10</v>
      </c>
      <c r="N9">
        <v>8</v>
      </c>
      <c r="O9">
        <v>5</v>
      </c>
      <c r="P9">
        <f t="shared" si="5"/>
        <v>38.46153846153846</v>
      </c>
      <c r="Q9">
        <v>13</v>
      </c>
      <c r="R9">
        <v>1</v>
      </c>
      <c r="S9">
        <v>4</v>
      </c>
      <c r="T9">
        <f t="shared" si="6"/>
        <v>36.363636363636367</v>
      </c>
      <c r="U9">
        <v>5</v>
      </c>
      <c r="V9">
        <v>3</v>
      </c>
      <c r="W9">
        <v>6</v>
      </c>
      <c r="X9">
        <f t="shared" si="7"/>
        <v>66.666666666666671</v>
      </c>
      <c r="Y9">
        <v>9</v>
      </c>
      <c r="Z9">
        <v>5</v>
      </c>
      <c r="AA9">
        <v>6</v>
      </c>
      <c r="AB9">
        <f t="shared" si="0"/>
        <v>54.545454545454547</v>
      </c>
      <c r="AD9">
        <v>11</v>
      </c>
      <c r="AE9">
        <v>2</v>
      </c>
      <c r="AF9">
        <v>8</v>
      </c>
      <c r="AG9">
        <f t="shared" si="8"/>
        <v>80</v>
      </c>
      <c r="AH9">
        <v>10</v>
      </c>
    </row>
    <row r="10" spans="1:34" x14ac:dyDescent="0.25">
      <c r="A10" t="s">
        <v>79</v>
      </c>
      <c r="B10">
        <v>1</v>
      </c>
      <c r="C10">
        <v>5</v>
      </c>
      <c r="D10">
        <f t="shared" si="1"/>
        <v>83.333333333333329</v>
      </c>
      <c r="E10">
        <v>6</v>
      </c>
      <c r="F10">
        <v>9</v>
      </c>
      <c r="G10">
        <v>5</v>
      </c>
      <c r="H10">
        <f t="shared" si="2"/>
        <v>35.714285714285715</v>
      </c>
      <c r="I10">
        <f t="shared" si="3"/>
        <v>14</v>
      </c>
      <c r="J10">
        <v>3</v>
      </c>
      <c r="K10">
        <v>4</v>
      </c>
      <c r="L10">
        <f t="shared" si="4"/>
        <v>57.142857142857146</v>
      </c>
      <c r="M10">
        <v>7</v>
      </c>
      <c r="N10">
        <v>6</v>
      </c>
      <c r="O10">
        <v>3</v>
      </c>
      <c r="P10">
        <f t="shared" si="5"/>
        <v>33.333333333333336</v>
      </c>
      <c r="Q10">
        <v>9</v>
      </c>
      <c r="R10">
        <v>10</v>
      </c>
      <c r="S10">
        <v>3</v>
      </c>
      <c r="T10">
        <f t="shared" si="6"/>
        <v>27.272727272727273</v>
      </c>
      <c r="U10">
        <v>13</v>
      </c>
      <c r="V10">
        <v>3</v>
      </c>
      <c r="W10">
        <v>4</v>
      </c>
      <c r="X10">
        <f t="shared" si="7"/>
        <v>57.142857142857146</v>
      </c>
      <c r="Y10">
        <v>7</v>
      </c>
      <c r="Z10">
        <v>8</v>
      </c>
      <c r="AA10">
        <v>4</v>
      </c>
      <c r="AB10">
        <f t="shared" si="0"/>
        <v>33.333333333333336</v>
      </c>
      <c r="AD10">
        <v>12</v>
      </c>
      <c r="AE10">
        <v>9</v>
      </c>
      <c r="AF10">
        <v>6</v>
      </c>
      <c r="AG10">
        <f t="shared" si="8"/>
        <v>40</v>
      </c>
      <c r="AH10">
        <v>15</v>
      </c>
    </row>
    <row r="11" spans="1:34" x14ac:dyDescent="0.25">
      <c r="A11" t="s">
        <v>80</v>
      </c>
      <c r="B11">
        <v>1</v>
      </c>
      <c r="C11">
        <v>1</v>
      </c>
      <c r="D11">
        <f t="shared" si="1"/>
        <v>50</v>
      </c>
      <c r="E11">
        <v>2</v>
      </c>
      <c r="F11">
        <v>3</v>
      </c>
      <c r="G11">
        <v>0</v>
      </c>
      <c r="H11">
        <f t="shared" si="2"/>
        <v>0</v>
      </c>
      <c r="I11">
        <f t="shared" si="3"/>
        <v>3</v>
      </c>
      <c r="N11">
        <v>1</v>
      </c>
      <c r="O11">
        <v>3</v>
      </c>
      <c r="P11">
        <f t="shared" si="5"/>
        <v>75</v>
      </c>
      <c r="Q11">
        <v>4</v>
      </c>
      <c r="R11">
        <v>3</v>
      </c>
      <c r="S11">
        <v>2</v>
      </c>
      <c r="T11">
        <f t="shared" si="6"/>
        <v>18.181818181818183</v>
      </c>
      <c r="U11">
        <v>5</v>
      </c>
      <c r="V11">
        <v>0</v>
      </c>
      <c r="W11">
        <v>3</v>
      </c>
      <c r="X11">
        <f t="shared" si="7"/>
        <v>100</v>
      </c>
      <c r="Y11">
        <v>3</v>
      </c>
      <c r="Z11">
        <v>2</v>
      </c>
      <c r="AA11">
        <v>1</v>
      </c>
      <c r="AB11">
        <f t="shared" si="0"/>
        <v>33.333333333333336</v>
      </c>
      <c r="AD11">
        <v>3</v>
      </c>
    </row>
    <row r="12" spans="1:34" s="11" customFormat="1" x14ac:dyDescent="0.25">
      <c r="A12" s="11" t="s">
        <v>81</v>
      </c>
      <c r="B12" s="11">
        <v>4</v>
      </c>
      <c r="C12" s="11">
        <v>1</v>
      </c>
      <c r="D12">
        <f t="shared" si="1"/>
        <v>20</v>
      </c>
      <c r="E12" s="11">
        <v>5</v>
      </c>
      <c r="F12" s="11">
        <v>8</v>
      </c>
      <c r="G12" s="11">
        <v>2</v>
      </c>
      <c r="H12" s="11">
        <f t="shared" si="2"/>
        <v>20</v>
      </c>
      <c r="I12" s="11">
        <f t="shared" si="3"/>
        <v>10</v>
      </c>
      <c r="N12" s="11">
        <v>3</v>
      </c>
      <c r="O12" s="11">
        <v>6</v>
      </c>
      <c r="P12">
        <f t="shared" si="5"/>
        <v>66.666666666666671</v>
      </c>
      <c r="Q12" s="11">
        <v>9</v>
      </c>
      <c r="R12" s="11">
        <v>4</v>
      </c>
      <c r="S12" s="11">
        <v>1</v>
      </c>
      <c r="T12">
        <f t="shared" si="6"/>
        <v>9.0909090909090917</v>
      </c>
      <c r="U12" s="11">
        <v>5</v>
      </c>
      <c r="V12" s="11">
        <v>2</v>
      </c>
      <c r="W12" s="11">
        <v>6</v>
      </c>
      <c r="X12">
        <f t="shared" si="7"/>
        <v>75</v>
      </c>
      <c r="Y12" s="11">
        <v>8</v>
      </c>
      <c r="Z12" s="11">
        <v>3</v>
      </c>
      <c r="AA12" s="11">
        <v>1</v>
      </c>
      <c r="AB12">
        <f t="shared" si="0"/>
        <v>25</v>
      </c>
      <c r="AC12"/>
      <c r="AD12" s="11">
        <v>4</v>
      </c>
    </row>
    <row r="13" spans="1:34" x14ac:dyDescent="0.25">
      <c r="A13" t="s">
        <v>82</v>
      </c>
      <c r="B13">
        <v>2</v>
      </c>
      <c r="C13">
        <v>5</v>
      </c>
      <c r="D13">
        <f t="shared" si="1"/>
        <v>71.428571428571431</v>
      </c>
      <c r="E13">
        <v>7</v>
      </c>
      <c r="F13">
        <v>3</v>
      </c>
      <c r="G13">
        <v>3</v>
      </c>
      <c r="H13">
        <f t="shared" si="2"/>
        <v>50</v>
      </c>
      <c r="I13">
        <f t="shared" si="3"/>
        <v>6</v>
      </c>
      <c r="N13">
        <v>4</v>
      </c>
      <c r="O13">
        <v>5</v>
      </c>
      <c r="P13">
        <f t="shared" si="5"/>
        <v>55.555555555555557</v>
      </c>
      <c r="Q13">
        <v>9</v>
      </c>
      <c r="R13">
        <v>3</v>
      </c>
      <c r="S13">
        <v>8</v>
      </c>
      <c r="T13">
        <f t="shared" si="6"/>
        <v>72.727272727272734</v>
      </c>
      <c r="U13">
        <v>11</v>
      </c>
      <c r="V13">
        <v>1</v>
      </c>
      <c r="W13">
        <v>9</v>
      </c>
      <c r="X13">
        <f t="shared" si="7"/>
        <v>90</v>
      </c>
      <c r="Y13">
        <v>10</v>
      </c>
      <c r="Z13">
        <v>3</v>
      </c>
      <c r="AA13">
        <v>0</v>
      </c>
      <c r="AB13">
        <f>(AA13*100)/AD13</f>
        <v>0</v>
      </c>
      <c r="AD13">
        <v>3</v>
      </c>
    </row>
    <row r="14" spans="1:34" x14ac:dyDescent="0.25">
      <c r="A14" t="s">
        <v>83</v>
      </c>
      <c r="B14">
        <v>3</v>
      </c>
      <c r="C14">
        <v>3</v>
      </c>
      <c r="D14">
        <f t="shared" si="1"/>
        <v>50</v>
      </c>
      <c r="E14">
        <v>6</v>
      </c>
      <c r="F14">
        <v>6</v>
      </c>
      <c r="G14">
        <v>0</v>
      </c>
      <c r="H14">
        <f t="shared" si="2"/>
        <v>0</v>
      </c>
      <c r="I14">
        <f t="shared" si="3"/>
        <v>6</v>
      </c>
      <c r="N14">
        <v>8</v>
      </c>
      <c r="O14">
        <v>5</v>
      </c>
      <c r="P14">
        <f t="shared" si="5"/>
        <v>38.46153846153846</v>
      </c>
      <c r="Q14">
        <v>13</v>
      </c>
      <c r="R14">
        <v>1</v>
      </c>
      <c r="S14">
        <v>4</v>
      </c>
      <c r="T14">
        <f t="shared" si="6"/>
        <v>36.363636363636367</v>
      </c>
      <c r="U14">
        <v>5</v>
      </c>
      <c r="V14">
        <v>3</v>
      </c>
      <c r="W14">
        <v>6</v>
      </c>
      <c r="X14">
        <f t="shared" si="7"/>
        <v>66.666666666666671</v>
      </c>
      <c r="Y14">
        <v>9</v>
      </c>
      <c r="Z14">
        <v>5</v>
      </c>
      <c r="AA14">
        <v>6</v>
      </c>
      <c r="AB14">
        <f>(AA14*100)/AD14</f>
        <v>54.545454545454547</v>
      </c>
      <c r="AD14">
        <v>11</v>
      </c>
    </row>
    <row r="15" spans="1:34" x14ac:dyDescent="0.25">
      <c r="F15">
        <f>SUM(F3:F14)</f>
        <v>76</v>
      </c>
      <c r="G15">
        <f>SUM(G3:G14)</f>
        <v>27</v>
      </c>
      <c r="H15">
        <f t="shared" si="2"/>
        <v>26.21359223300971</v>
      </c>
      <c r="I15">
        <f>SUM(I3:I14)</f>
        <v>103</v>
      </c>
    </row>
    <row r="16" spans="1:34" x14ac:dyDescent="0.25">
      <c r="B16" t="s">
        <v>70</v>
      </c>
      <c r="E16" t="s">
        <v>71</v>
      </c>
      <c r="F16" t="s">
        <v>70</v>
      </c>
      <c r="I16" t="s">
        <v>71</v>
      </c>
      <c r="J16" t="s">
        <v>70</v>
      </c>
      <c r="M16" t="s">
        <v>71</v>
      </c>
      <c r="N16" t="s">
        <v>70</v>
      </c>
      <c r="Q16" t="s">
        <v>71</v>
      </c>
      <c r="R16" t="s">
        <v>70</v>
      </c>
      <c r="U16" t="s">
        <v>71</v>
      </c>
      <c r="V16" t="s">
        <v>70</v>
      </c>
      <c r="Y16" t="s">
        <v>71</v>
      </c>
      <c r="Z16" t="s">
        <v>70</v>
      </c>
      <c r="AD16" t="s">
        <v>71</v>
      </c>
      <c r="AE16" t="s">
        <v>70</v>
      </c>
      <c r="AH16" t="s">
        <v>71</v>
      </c>
    </row>
    <row r="17" spans="1:6" x14ac:dyDescent="0.25">
      <c r="C17" t="s">
        <v>88</v>
      </c>
      <c r="E17" t="s">
        <v>89</v>
      </c>
      <c r="F17" t="s">
        <v>90</v>
      </c>
    </row>
    <row r="18" spans="1:6" x14ac:dyDescent="0.25">
      <c r="A18" t="s">
        <v>72</v>
      </c>
      <c r="B18">
        <f>E3+I3+M3+Q3+U3+Y3+AD3+AH3</f>
        <v>64</v>
      </c>
      <c r="C18">
        <v>57</v>
      </c>
      <c r="E18">
        <v>7</v>
      </c>
      <c r="F18" s="10">
        <f>(E18*100)/B18</f>
        <v>10.9375</v>
      </c>
    </row>
    <row r="19" spans="1:6" x14ac:dyDescent="0.25">
      <c r="A19" t="s">
        <v>73</v>
      </c>
      <c r="B19">
        <f t="shared" ref="B19:B27" si="9">E4+I4+M4+Q4+U4+Y4+AD4+AH4</f>
        <v>71</v>
      </c>
      <c r="C19">
        <v>63</v>
      </c>
      <c r="E19">
        <v>8</v>
      </c>
      <c r="F19" s="10">
        <f t="shared" ref="F19:F30" si="10">(E19*100)/B19</f>
        <v>11.267605633802816</v>
      </c>
    </row>
    <row r="20" spans="1:6" x14ac:dyDescent="0.25">
      <c r="A20" t="s">
        <v>74</v>
      </c>
      <c r="B20">
        <f t="shared" si="9"/>
        <v>83</v>
      </c>
      <c r="C20">
        <v>79</v>
      </c>
      <c r="E20">
        <v>4</v>
      </c>
      <c r="F20" s="10">
        <f t="shared" si="10"/>
        <v>4.8192771084337354</v>
      </c>
    </row>
    <row r="21" spans="1:6" x14ac:dyDescent="0.25">
      <c r="A21" t="s">
        <v>75</v>
      </c>
      <c r="B21">
        <f t="shared" si="9"/>
        <v>100</v>
      </c>
      <c r="C21">
        <v>89</v>
      </c>
      <c r="E21">
        <v>11</v>
      </c>
      <c r="F21" s="10">
        <f t="shared" si="10"/>
        <v>11</v>
      </c>
    </row>
    <row r="22" spans="1:6" x14ac:dyDescent="0.25">
      <c r="A22" t="s">
        <v>76</v>
      </c>
      <c r="B22">
        <f t="shared" si="9"/>
        <v>55</v>
      </c>
      <c r="C22">
        <v>50</v>
      </c>
      <c r="E22">
        <v>5</v>
      </c>
      <c r="F22" s="10">
        <f t="shared" si="10"/>
        <v>9.0909090909090917</v>
      </c>
    </row>
    <row r="23" spans="1:6" x14ac:dyDescent="0.25">
      <c r="A23" t="s">
        <v>77</v>
      </c>
      <c r="B23">
        <f t="shared" si="9"/>
        <v>64</v>
      </c>
      <c r="C23">
        <v>57</v>
      </c>
      <c r="E23">
        <v>7</v>
      </c>
      <c r="F23" s="10">
        <f t="shared" si="10"/>
        <v>10.9375</v>
      </c>
    </row>
    <row r="24" spans="1:6" x14ac:dyDescent="0.25">
      <c r="A24" t="s">
        <v>78</v>
      </c>
      <c r="B24">
        <f t="shared" si="9"/>
        <v>70</v>
      </c>
      <c r="C24">
        <v>63</v>
      </c>
      <c r="E24">
        <v>8</v>
      </c>
      <c r="F24" s="10">
        <f t="shared" si="10"/>
        <v>11.428571428571429</v>
      </c>
    </row>
    <row r="25" spans="1:6" x14ac:dyDescent="0.25">
      <c r="A25" t="s">
        <v>79</v>
      </c>
      <c r="B25">
        <f t="shared" si="9"/>
        <v>83</v>
      </c>
      <c r="C25">
        <v>79</v>
      </c>
      <c r="E25">
        <v>4</v>
      </c>
      <c r="F25" s="10">
        <f t="shared" si="10"/>
        <v>4.8192771084337354</v>
      </c>
    </row>
    <row r="26" spans="1:6" x14ac:dyDescent="0.25">
      <c r="A26" t="s">
        <v>80</v>
      </c>
      <c r="B26">
        <f t="shared" si="9"/>
        <v>20</v>
      </c>
      <c r="C26">
        <v>19</v>
      </c>
      <c r="E26">
        <v>1</v>
      </c>
      <c r="F26" s="10">
        <f t="shared" si="10"/>
        <v>5</v>
      </c>
    </row>
    <row r="27" spans="1:6" x14ac:dyDescent="0.25">
      <c r="A27" t="s">
        <v>81</v>
      </c>
      <c r="B27">
        <f t="shared" si="9"/>
        <v>41</v>
      </c>
      <c r="C27">
        <v>36</v>
      </c>
      <c r="E27">
        <v>5</v>
      </c>
      <c r="F27" s="10">
        <f t="shared" si="10"/>
        <v>12.195121951219512</v>
      </c>
    </row>
    <row r="28" spans="1:6" x14ac:dyDescent="0.25">
      <c r="A28" t="s">
        <v>82</v>
      </c>
      <c r="B28">
        <f>E13+I13+M13+Q13+U13+Y13+AD13+AH13</f>
        <v>46</v>
      </c>
      <c r="C28">
        <v>39</v>
      </c>
      <c r="E28">
        <v>7</v>
      </c>
      <c r="F28" s="10">
        <f t="shared" si="10"/>
        <v>15.217391304347826</v>
      </c>
    </row>
    <row r="29" spans="1:6" x14ac:dyDescent="0.25">
      <c r="A29" t="s">
        <v>83</v>
      </c>
      <c r="B29">
        <f>E14+I14+M14+Q14+U14+Y14+AD14+AH14</f>
        <v>50</v>
      </c>
      <c r="C29">
        <v>43</v>
      </c>
      <c r="E29">
        <v>8</v>
      </c>
      <c r="F29" s="10">
        <f t="shared" si="10"/>
        <v>16</v>
      </c>
    </row>
    <row r="30" spans="1:6" x14ac:dyDescent="0.25">
      <c r="B30">
        <f>SUM(B18:B29)</f>
        <v>747</v>
      </c>
      <c r="C30">
        <f>SUM(C18:C29)</f>
        <v>674</v>
      </c>
      <c r="E30">
        <f>SUM(E18:E29)</f>
        <v>75</v>
      </c>
      <c r="F30" s="10">
        <f t="shared" si="10"/>
        <v>10.040160642570282</v>
      </c>
    </row>
    <row r="31" spans="1:6" x14ac:dyDescent="0.25">
      <c r="A31" t="s">
        <v>84</v>
      </c>
      <c r="B31">
        <f>B26+B22+B18</f>
        <v>139</v>
      </c>
    </row>
    <row r="32" spans="1:6" x14ac:dyDescent="0.25">
      <c r="A32" t="s">
        <v>85</v>
      </c>
      <c r="B32">
        <f>B27+B23+B19</f>
        <v>176</v>
      </c>
    </row>
    <row r="33" spans="1:2" x14ac:dyDescent="0.25">
      <c r="A33" t="s">
        <v>86</v>
      </c>
      <c r="B33">
        <f>B28+B24+B20</f>
        <v>199</v>
      </c>
    </row>
    <row r="34" spans="1:2" x14ac:dyDescent="0.25">
      <c r="A34" t="s">
        <v>87</v>
      </c>
      <c r="B34">
        <f>B29+B25+B21</f>
        <v>233</v>
      </c>
    </row>
    <row r="35" spans="1:2" x14ac:dyDescent="0.25">
      <c r="B35">
        <f>SUM(B31:B34)</f>
        <v>747</v>
      </c>
    </row>
    <row r="56" spans="10:10" x14ac:dyDescent="0.25">
      <c r="J56">
        <f>100/12</f>
        <v>8.3333333333333339</v>
      </c>
    </row>
  </sheetData>
  <mergeCells count="8">
    <mergeCell ref="Z1:AD1"/>
    <mergeCell ref="AE1:AH1"/>
    <mergeCell ref="F1:I1"/>
    <mergeCell ref="B1:E1"/>
    <mergeCell ref="J1:M1"/>
    <mergeCell ref="N1:Q1"/>
    <mergeCell ref="R1:U1"/>
    <mergeCell ref="V1:Y1"/>
  </mergeCells>
  <phoneticPr fontId="3" type="noConversion"/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4E-9125-413D-9DFA-5B020EBFEA21}">
  <dimension ref="A1:G12"/>
  <sheetViews>
    <sheetView workbookViewId="0">
      <selection activeCell="A7" sqref="A7:D7"/>
    </sheetView>
  </sheetViews>
  <sheetFormatPr baseColWidth="10" defaultRowHeight="15" x14ac:dyDescent="0.25"/>
  <sheetData>
    <row r="1" spans="1:7" ht="16.5" thickBot="1" x14ac:dyDescent="0.3">
      <c r="A1" s="12">
        <v>21</v>
      </c>
      <c r="B1" s="13">
        <v>21</v>
      </c>
      <c r="C1" s="13">
        <v>29</v>
      </c>
      <c r="D1" s="13">
        <v>26</v>
      </c>
    </row>
    <row r="2" spans="1:7" ht="15.75" thickBot="1" x14ac:dyDescent="0.3"/>
    <row r="3" spans="1:7" ht="32.25" thickBot="1" x14ac:dyDescent="0.3">
      <c r="A3" s="12" t="s">
        <v>116</v>
      </c>
      <c r="B3" s="13" t="s">
        <v>117</v>
      </c>
      <c r="C3" s="13" t="s">
        <v>118</v>
      </c>
      <c r="D3" s="13" t="s">
        <v>119</v>
      </c>
    </row>
    <row r="5" spans="1:7" x14ac:dyDescent="0.25">
      <c r="A5">
        <v>18</v>
      </c>
      <c r="B5">
        <v>21</v>
      </c>
      <c r="C5">
        <v>19</v>
      </c>
      <c r="D5">
        <v>19</v>
      </c>
    </row>
    <row r="7" spans="1:7" x14ac:dyDescent="0.25">
      <c r="A7">
        <f>(A5*100)/A1</f>
        <v>85.714285714285708</v>
      </c>
      <c r="B7">
        <f>(B5*100)/B1</f>
        <v>100</v>
      </c>
      <c r="C7">
        <f>(C5*100)/C1</f>
        <v>65.517241379310349</v>
      </c>
      <c r="D7">
        <f>(D5*100)/D1</f>
        <v>73.07692307692308</v>
      </c>
    </row>
    <row r="12" spans="1:7" x14ac:dyDescent="0.25">
      <c r="G12">
        <f>100/9</f>
        <v>11.111111111111111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EB6-C14B-45ED-A595-3C7EC8A49FF1}">
  <dimension ref="A1:I10"/>
  <sheetViews>
    <sheetView zoomScale="88" workbookViewId="0">
      <selection activeCell="J10" sqref="J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16.5" thickBot="1" x14ac:dyDescent="0.3">
      <c r="A2" s="16"/>
      <c r="B2" s="23"/>
      <c r="C2" s="30"/>
      <c r="D2" s="17"/>
      <c r="E2" s="30"/>
      <c r="F2" s="17"/>
      <c r="G2" s="30"/>
      <c r="H2" s="17"/>
      <c r="I2" s="30"/>
    </row>
    <row r="3" spans="1:9" ht="16.5" thickBot="1" x14ac:dyDescent="0.3">
      <c r="A3" s="16"/>
      <c r="B3" s="23"/>
      <c r="C3" s="28"/>
      <c r="D3" s="17"/>
      <c r="E3" s="28"/>
      <c r="F3" s="17"/>
      <c r="G3" s="28"/>
      <c r="H3" s="17"/>
      <c r="I3" s="28"/>
    </row>
    <row r="4" spans="1:9" ht="32.25" thickBot="1" x14ac:dyDescent="0.3">
      <c r="A4" s="16" t="s">
        <v>115</v>
      </c>
      <c r="B4" s="23"/>
      <c r="C4" s="28">
        <v>6</v>
      </c>
      <c r="D4" s="17"/>
      <c r="E4" s="28">
        <v>12</v>
      </c>
      <c r="F4" s="17"/>
      <c r="G4" s="28">
        <v>10</v>
      </c>
      <c r="H4" s="17"/>
      <c r="I4" s="28">
        <v>15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(C7*100)/6</f>
        <v>33.333333333333336</v>
      </c>
      <c r="C7" s="21">
        <v>2</v>
      </c>
      <c r="D7" s="21">
        <f>(E7*100)/12</f>
        <v>8.3333333333333339</v>
      </c>
      <c r="E7" s="21">
        <v>1</v>
      </c>
      <c r="F7" s="21">
        <f>(G7*100)/10</f>
        <v>0</v>
      </c>
      <c r="G7" s="21">
        <v>0</v>
      </c>
      <c r="H7" s="21">
        <f>(I7*100)/15</f>
        <v>13.333333333333334</v>
      </c>
      <c r="I7" s="21">
        <v>2</v>
      </c>
    </row>
    <row r="8" spans="1:9" ht="15.75" x14ac:dyDescent="0.25">
      <c r="A8" s="20" t="s">
        <v>98</v>
      </c>
      <c r="B8" s="21">
        <f>(C8*100)/6</f>
        <v>16.666666666666668</v>
      </c>
      <c r="C8" s="21">
        <v>1</v>
      </c>
      <c r="D8" s="21">
        <f>(E8*100)/12</f>
        <v>33.333333333333336</v>
      </c>
      <c r="E8" s="21">
        <v>4</v>
      </c>
      <c r="F8" s="21">
        <f>(G8*100)/10</f>
        <v>40</v>
      </c>
      <c r="G8" s="21">
        <v>4</v>
      </c>
      <c r="H8" s="21">
        <f>(I8*100)/15</f>
        <v>20</v>
      </c>
      <c r="I8" s="21">
        <v>3</v>
      </c>
    </row>
    <row r="9" spans="1:9" ht="15.75" x14ac:dyDescent="0.25">
      <c r="A9" s="20" t="s">
        <v>97</v>
      </c>
      <c r="B9" s="21">
        <f>(C9*100)/6</f>
        <v>50</v>
      </c>
      <c r="C9" s="29">
        <v>3</v>
      </c>
      <c r="D9" s="21">
        <f>(E9*100)/12</f>
        <v>41.666666666666664</v>
      </c>
      <c r="E9" s="21">
        <v>5</v>
      </c>
      <c r="F9" s="21">
        <f>(G9*100)/10</f>
        <v>60</v>
      </c>
      <c r="G9" s="21">
        <v>6</v>
      </c>
      <c r="H9" s="21">
        <f>(I9*100)/15</f>
        <v>60</v>
      </c>
      <c r="I9" s="29">
        <v>9</v>
      </c>
    </row>
    <row r="10" spans="1:9" ht="31.5" x14ac:dyDescent="0.25">
      <c r="A10" s="20" t="s">
        <v>99</v>
      </c>
      <c r="B10" s="21">
        <f>(C10*100)/6</f>
        <v>0</v>
      </c>
      <c r="C10" s="25">
        <v>0</v>
      </c>
      <c r="D10" s="21">
        <f>(E10*100)/12</f>
        <v>16.666666666666668</v>
      </c>
      <c r="E10" s="29">
        <v>2</v>
      </c>
      <c r="F10" s="21">
        <f>(G10*100)/10</f>
        <v>0</v>
      </c>
      <c r="G10" s="21">
        <v>0</v>
      </c>
      <c r="H10" s="21">
        <f>(I10*100)/15</f>
        <v>6.666666666666667</v>
      </c>
      <c r="I10" s="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B2F-6927-4EE3-943B-FB0D9A87851C}">
  <dimension ref="A1:I10"/>
  <sheetViews>
    <sheetView zoomScale="88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16.5" thickBot="1" x14ac:dyDescent="0.3">
      <c r="A2" s="16"/>
      <c r="B2" s="23"/>
      <c r="C2" s="30"/>
      <c r="D2" s="17"/>
      <c r="E2" s="30"/>
      <c r="F2" s="17"/>
      <c r="G2" s="30"/>
      <c r="H2" s="17"/>
      <c r="I2" s="30"/>
    </row>
    <row r="3" spans="1:9" ht="16.5" thickBot="1" x14ac:dyDescent="0.3">
      <c r="A3" s="16"/>
      <c r="B3" s="23"/>
      <c r="C3" s="28"/>
      <c r="D3" s="17"/>
      <c r="E3" s="28"/>
      <c r="F3" s="17"/>
      <c r="G3" s="28"/>
      <c r="H3" s="17"/>
      <c r="I3" s="28"/>
    </row>
    <row r="4" spans="1:9" ht="32.25" thickBot="1" x14ac:dyDescent="0.3">
      <c r="A4" s="16" t="s">
        <v>115</v>
      </c>
      <c r="B4" s="23"/>
      <c r="C4" s="28">
        <v>8</v>
      </c>
      <c r="D4" s="17"/>
      <c r="E4" s="28">
        <v>6</v>
      </c>
      <c r="F4" s="17"/>
      <c r="G4" s="28">
        <v>10</v>
      </c>
      <c r="H4" s="17"/>
      <c r="I4" s="28">
        <v>7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(C7*100)/8</f>
        <v>62.5</v>
      </c>
      <c r="C7" s="21">
        <v>5</v>
      </c>
      <c r="D7" s="21">
        <f>(E7*100)/6</f>
        <v>66.666666666666671</v>
      </c>
      <c r="E7" s="21">
        <v>4</v>
      </c>
      <c r="F7" s="21">
        <f>(G7*100)/10</f>
        <v>50</v>
      </c>
      <c r="G7" s="21">
        <v>5</v>
      </c>
      <c r="H7" s="21">
        <f>(I7*100)/7</f>
        <v>42.857142857142854</v>
      </c>
      <c r="I7" s="21">
        <v>3</v>
      </c>
    </row>
    <row r="8" spans="1:9" ht="15.75" x14ac:dyDescent="0.25">
      <c r="A8" s="20" t="s">
        <v>98</v>
      </c>
      <c r="B8" s="21">
        <f>(C8*100)/8</f>
        <v>0</v>
      </c>
      <c r="C8" s="21">
        <v>0</v>
      </c>
      <c r="D8" s="21">
        <f>(E8*100)/6</f>
        <v>0</v>
      </c>
      <c r="E8" s="21">
        <v>0</v>
      </c>
      <c r="F8" s="21">
        <f>(G8*100)/10</f>
        <v>0</v>
      </c>
      <c r="G8" s="21">
        <v>0</v>
      </c>
      <c r="H8" s="21">
        <f>(I8*100)/7</f>
        <v>0</v>
      </c>
      <c r="I8" s="21">
        <v>0</v>
      </c>
    </row>
    <row r="9" spans="1:9" ht="15.75" x14ac:dyDescent="0.25">
      <c r="A9" s="20" t="s">
        <v>97</v>
      </c>
      <c r="B9" s="21">
        <f>(C9*100)/8</f>
        <v>37.5</v>
      </c>
      <c r="C9" s="29">
        <v>3</v>
      </c>
      <c r="D9" s="21">
        <f>(E9*100)/6</f>
        <v>33.333333333333336</v>
      </c>
      <c r="E9" s="21">
        <v>2</v>
      </c>
      <c r="F9" s="21">
        <f>(G9*100)/10</f>
        <v>50</v>
      </c>
      <c r="G9" s="21">
        <v>5</v>
      </c>
      <c r="H9" s="21">
        <f>(I9*100)/7</f>
        <v>57.142857142857146</v>
      </c>
      <c r="I9" s="29">
        <v>4</v>
      </c>
    </row>
    <row r="10" spans="1:9" ht="31.5" x14ac:dyDescent="0.25">
      <c r="A10" s="20" t="s">
        <v>99</v>
      </c>
      <c r="B10" s="21">
        <f>(C10*100)/8</f>
        <v>0</v>
      </c>
      <c r="C10" s="25">
        <v>0</v>
      </c>
      <c r="D10" s="21">
        <f>(E10*100)/6</f>
        <v>0</v>
      </c>
      <c r="E10" s="29">
        <v>0</v>
      </c>
      <c r="F10" s="21">
        <f>(G10*100)/10</f>
        <v>0</v>
      </c>
      <c r="G10" s="21">
        <v>0</v>
      </c>
      <c r="H10" s="21">
        <f>(I10*100)/7</f>
        <v>0</v>
      </c>
      <c r="I10" s="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52D-BE39-414E-AF83-5CDD4BBE49AA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9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9" ht="32.25" thickBot="1" x14ac:dyDescent="0.3">
      <c r="A4" s="16" t="s">
        <v>94</v>
      </c>
      <c r="B4" s="23"/>
      <c r="C4" s="28">
        <v>4</v>
      </c>
      <c r="D4" s="17"/>
      <c r="E4" s="28">
        <v>9</v>
      </c>
      <c r="F4" s="17"/>
      <c r="G4" s="28">
        <v>9</v>
      </c>
      <c r="H4" s="17"/>
      <c r="I4" s="28">
        <v>13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(C7*100)/4</f>
        <v>25</v>
      </c>
      <c r="C7" s="21">
        <v>1</v>
      </c>
      <c r="D7" s="21">
        <f>(E7*100)/9</f>
        <v>22.222222222222221</v>
      </c>
      <c r="E7" s="21">
        <v>2</v>
      </c>
      <c r="F7" s="21">
        <f>(G7*100)/9</f>
        <v>22.222222222222221</v>
      </c>
      <c r="G7" s="21">
        <v>2</v>
      </c>
      <c r="H7" s="21">
        <f>(I7*100)/13</f>
        <v>7.6923076923076925</v>
      </c>
      <c r="I7" s="21">
        <v>1</v>
      </c>
    </row>
    <row r="8" spans="1:9" ht="15.75" x14ac:dyDescent="0.25">
      <c r="A8" s="20" t="s">
        <v>98</v>
      </c>
      <c r="B8" s="21">
        <f>(C8*100)/4</f>
        <v>25</v>
      </c>
      <c r="C8" s="21">
        <v>1</v>
      </c>
      <c r="D8" s="21">
        <f>(E8*100)/9</f>
        <v>22.222222222222221</v>
      </c>
      <c r="E8" s="21">
        <v>2</v>
      </c>
      <c r="F8" s="21">
        <f>(G8*100)/9</f>
        <v>11.111111111111111</v>
      </c>
      <c r="G8" s="21">
        <v>1</v>
      </c>
      <c r="H8" s="21">
        <f>(I8*100)/13</f>
        <v>30.76923076923077</v>
      </c>
      <c r="I8" s="21">
        <v>4</v>
      </c>
    </row>
    <row r="9" spans="1:9" ht="15.75" x14ac:dyDescent="0.25">
      <c r="A9" s="20" t="s">
        <v>97</v>
      </c>
      <c r="B9" s="21">
        <f>(C9*100)/4</f>
        <v>50</v>
      </c>
      <c r="C9" s="29">
        <v>2</v>
      </c>
      <c r="D9" s="21">
        <f>(E9*100)/9</f>
        <v>55.555555555555557</v>
      </c>
      <c r="E9" s="21">
        <v>5</v>
      </c>
      <c r="F9" s="21">
        <f>(G9*100)/9</f>
        <v>66.666666666666671</v>
      </c>
      <c r="G9" s="21">
        <v>6</v>
      </c>
      <c r="H9" s="21">
        <f>(I9*100)/13</f>
        <v>61.53846153846154</v>
      </c>
      <c r="I9" s="29">
        <v>8</v>
      </c>
    </row>
    <row r="10" spans="1:9" ht="31.5" x14ac:dyDescent="0.25">
      <c r="A10" s="20" t="s">
        <v>99</v>
      </c>
      <c r="B10" s="21">
        <f>(C10*100)/4</f>
        <v>0</v>
      </c>
      <c r="C10" s="25">
        <v>0</v>
      </c>
      <c r="D10" s="21">
        <f>(E10*100)/9</f>
        <v>0</v>
      </c>
      <c r="E10" s="29">
        <v>0</v>
      </c>
      <c r="F10" s="21">
        <f>(G10*100)/9</f>
        <v>0</v>
      </c>
      <c r="G10" s="21">
        <v>0</v>
      </c>
      <c r="H10" s="21">
        <f>(I10*100)/13</f>
        <v>0</v>
      </c>
      <c r="I10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759B-B346-45EA-A950-2C1D4FEAC9DD}">
  <dimension ref="A1:N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6.42578125" customWidth="1"/>
    <col min="7" max="7" width="11.5703125" bestFit="1" customWidth="1"/>
    <col min="8" max="8" width="6.28515625" customWidth="1"/>
    <col min="9" max="9" width="11.5703125" bestFit="1" customWidth="1"/>
  </cols>
  <sheetData>
    <row r="1" spans="1:14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14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14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14" ht="32.25" thickBot="1" x14ac:dyDescent="0.3">
      <c r="A4" s="16" t="s">
        <v>94</v>
      </c>
      <c r="B4" s="23"/>
      <c r="C4" s="28">
        <v>3</v>
      </c>
      <c r="D4" s="17"/>
      <c r="E4" s="28">
        <v>8</v>
      </c>
      <c r="F4" s="17"/>
      <c r="G4" s="28">
        <v>10</v>
      </c>
      <c r="H4" s="17"/>
      <c r="I4" s="28">
        <v>9</v>
      </c>
      <c r="K4" s="30">
        <v>3</v>
      </c>
      <c r="L4" s="27">
        <v>8</v>
      </c>
      <c r="M4" s="27">
        <v>10</v>
      </c>
      <c r="N4" s="27">
        <v>9</v>
      </c>
    </row>
    <row r="5" spans="1:14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14" ht="31.5" x14ac:dyDescent="0.25">
      <c r="A7" s="20" t="s">
        <v>96</v>
      </c>
      <c r="B7" s="21">
        <f>(C7*100)/3</f>
        <v>0</v>
      </c>
      <c r="C7" s="21">
        <v>0</v>
      </c>
      <c r="D7" s="21">
        <f>(E7*100)/8</f>
        <v>0</v>
      </c>
      <c r="E7" s="21">
        <v>0</v>
      </c>
      <c r="F7" s="21">
        <f>(G7*100)/10</f>
        <v>10</v>
      </c>
      <c r="G7" s="21">
        <v>1</v>
      </c>
      <c r="H7" s="21">
        <f>(I7*100)/9</f>
        <v>0</v>
      </c>
      <c r="I7" s="21">
        <v>0</v>
      </c>
    </row>
    <row r="8" spans="1:14" ht="15.75" x14ac:dyDescent="0.25">
      <c r="A8" s="20" t="s">
        <v>98</v>
      </c>
      <c r="B8" s="21">
        <f>(C8*100)/3</f>
        <v>100</v>
      </c>
      <c r="C8" s="21">
        <v>3</v>
      </c>
      <c r="D8" s="21">
        <f>(E8*100)/8</f>
        <v>25</v>
      </c>
      <c r="E8" s="21">
        <v>2</v>
      </c>
      <c r="F8" s="21">
        <f>(G8*100)/10</f>
        <v>40</v>
      </c>
      <c r="G8" s="21">
        <v>4</v>
      </c>
      <c r="H8" s="21">
        <f>(I8*100)/9</f>
        <v>22.222222222222221</v>
      </c>
      <c r="I8" s="21">
        <v>2</v>
      </c>
    </row>
    <row r="9" spans="1:14" ht="15.75" x14ac:dyDescent="0.25">
      <c r="A9" s="20" t="s">
        <v>97</v>
      </c>
      <c r="B9" s="21">
        <f>(C9*100)/3</f>
        <v>0</v>
      </c>
      <c r="C9" s="29">
        <v>0</v>
      </c>
      <c r="D9" s="21">
        <f>(E9*100)/8</f>
        <v>75</v>
      </c>
      <c r="E9" s="29">
        <v>6</v>
      </c>
      <c r="F9" s="21">
        <f>(G9*100)/10</f>
        <v>50</v>
      </c>
      <c r="G9" s="21">
        <v>5</v>
      </c>
      <c r="H9" s="21">
        <f>(I9*100)/9</f>
        <v>55.555555555555557</v>
      </c>
      <c r="I9" s="29">
        <v>5</v>
      </c>
    </row>
    <row r="10" spans="1:14" ht="31.5" x14ac:dyDescent="0.25">
      <c r="A10" s="20" t="s">
        <v>99</v>
      </c>
      <c r="B10" s="21">
        <f>(C10*100)/3</f>
        <v>0</v>
      </c>
      <c r="C10" s="25">
        <v>0</v>
      </c>
      <c r="D10" s="21">
        <f>(E10*100)/8</f>
        <v>0</v>
      </c>
      <c r="E10" s="29">
        <v>0</v>
      </c>
      <c r="F10" s="21">
        <f>(G10*100)/10</f>
        <v>0</v>
      </c>
      <c r="G10" s="21">
        <v>0</v>
      </c>
      <c r="H10" s="21">
        <f>(I10*100)/9</f>
        <v>22.222222222222221</v>
      </c>
      <c r="I10" s="2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B0AC-8096-4852-833D-6059A91B159C}">
  <dimension ref="A1:N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6.42578125" customWidth="1"/>
    <col min="7" max="7" width="11.5703125" bestFit="1" customWidth="1"/>
    <col min="8" max="8" width="6.28515625" customWidth="1"/>
    <col min="9" max="9" width="11.5703125" bestFit="1" customWidth="1"/>
  </cols>
  <sheetData>
    <row r="1" spans="1:14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14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14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14" ht="32.25" thickBot="1" x14ac:dyDescent="0.3">
      <c r="A4" s="16" t="s">
        <v>94</v>
      </c>
      <c r="B4" s="23"/>
      <c r="C4" s="28">
        <v>5</v>
      </c>
      <c r="D4" s="17"/>
      <c r="E4" s="28">
        <v>5</v>
      </c>
      <c r="F4" s="17"/>
      <c r="G4" s="28">
        <v>11</v>
      </c>
      <c r="H4" s="17"/>
      <c r="I4" s="28">
        <v>5</v>
      </c>
      <c r="K4" s="30">
        <v>5</v>
      </c>
      <c r="L4" s="27">
        <v>5</v>
      </c>
      <c r="M4" s="27">
        <v>11</v>
      </c>
      <c r="N4" s="27">
        <v>5</v>
      </c>
    </row>
    <row r="5" spans="1:14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14" ht="31.5" x14ac:dyDescent="0.25">
      <c r="A7" s="20" t="s">
        <v>96</v>
      </c>
      <c r="B7" s="21">
        <f>(C7*100)/5</f>
        <v>0</v>
      </c>
      <c r="C7" s="21">
        <v>0</v>
      </c>
      <c r="D7" s="21">
        <f>(E7*100)/5</f>
        <v>0</v>
      </c>
      <c r="E7" s="21">
        <v>0</v>
      </c>
      <c r="F7" s="21">
        <f>(G7*100)/11</f>
        <v>18.181818181818183</v>
      </c>
      <c r="G7" s="21">
        <v>2</v>
      </c>
      <c r="H7" s="21">
        <f>(I7*100)/5</f>
        <v>0</v>
      </c>
      <c r="I7" s="21">
        <v>0</v>
      </c>
    </row>
    <row r="8" spans="1:14" ht="15.75" x14ac:dyDescent="0.25">
      <c r="A8" s="20" t="s">
        <v>98</v>
      </c>
      <c r="B8" s="21">
        <f>(C8*100)/5</f>
        <v>20</v>
      </c>
      <c r="C8" s="21">
        <v>1</v>
      </c>
      <c r="D8" s="21">
        <f>(E8*100)/5</f>
        <v>40</v>
      </c>
      <c r="E8" s="21">
        <v>2</v>
      </c>
      <c r="F8" s="21">
        <f>(G8*100)/11</f>
        <v>27.272727272727273</v>
      </c>
      <c r="G8" s="21">
        <v>3</v>
      </c>
      <c r="H8" s="21">
        <f>(I8*100)/5</f>
        <v>20</v>
      </c>
      <c r="I8" s="21">
        <v>1</v>
      </c>
    </row>
    <row r="9" spans="1:14" ht="15.75" x14ac:dyDescent="0.25">
      <c r="A9" s="20" t="s">
        <v>97</v>
      </c>
      <c r="B9" s="21">
        <f>(C9*100)/5</f>
        <v>80</v>
      </c>
      <c r="C9" s="29">
        <v>4</v>
      </c>
      <c r="D9" s="21">
        <f>(E9*100)/5</f>
        <v>60</v>
      </c>
      <c r="E9" s="29">
        <v>3</v>
      </c>
      <c r="F9" s="21">
        <f>(G9*100)/11</f>
        <v>54.545454545454547</v>
      </c>
      <c r="G9" s="21">
        <v>6</v>
      </c>
      <c r="H9" s="21">
        <f>(I9*100)/5</f>
        <v>80</v>
      </c>
      <c r="I9" s="29">
        <v>4</v>
      </c>
    </row>
    <row r="10" spans="1:14" ht="31.5" x14ac:dyDescent="0.25">
      <c r="A10" s="20" t="s">
        <v>99</v>
      </c>
      <c r="B10" s="21">
        <f>(C10*100)/5</f>
        <v>0</v>
      </c>
      <c r="C10" s="25">
        <v>0</v>
      </c>
      <c r="D10" s="21">
        <f>(E10*100)/5</f>
        <v>0</v>
      </c>
      <c r="E10" s="29">
        <v>0</v>
      </c>
      <c r="F10" s="21">
        <f>(G10*100)/11</f>
        <v>0</v>
      </c>
      <c r="G10" s="21">
        <v>0</v>
      </c>
      <c r="H10" s="21">
        <f>(I10*100)/5</f>
        <v>0</v>
      </c>
      <c r="I10" s="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A95-7A5F-4603-94D2-678F99AD56E9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9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9" ht="32.25" thickBot="1" x14ac:dyDescent="0.3">
      <c r="A4" s="16" t="s">
        <v>94</v>
      </c>
      <c r="B4" s="23"/>
      <c r="C4" s="28">
        <v>2</v>
      </c>
      <c r="D4" s="17"/>
      <c r="E4" s="28">
        <v>5</v>
      </c>
      <c r="F4" s="17"/>
      <c r="G4" s="28">
        <v>7</v>
      </c>
      <c r="H4" s="17"/>
      <c r="I4" s="28">
        <v>6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(C7*100)/2</f>
        <v>0</v>
      </c>
      <c r="C7" s="21">
        <v>0</v>
      </c>
      <c r="D7" s="21">
        <f>(E7*100)/5</f>
        <v>60</v>
      </c>
      <c r="E7" s="21">
        <v>3</v>
      </c>
      <c r="F7" s="21">
        <f>(G7*100)/7</f>
        <v>28.571428571428573</v>
      </c>
      <c r="G7" s="21">
        <v>2</v>
      </c>
      <c r="H7" s="21">
        <f>(I7*100)/6</f>
        <v>16.666666666666668</v>
      </c>
      <c r="I7" s="21">
        <v>1</v>
      </c>
    </row>
    <row r="8" spans="1:9" ht="15.75" x14ac:dyDescent="0.25">
      <c r="A8" s="20" t="s">
        <v>98</v>
      </c>
      <c r="B8" s="21">
        <f>(C8*100)/2</f>
        <v>0</v>
      </c>
      <c r="C8" s="21">
        <v>0</v>
      </c>
      <c r="D8" s="21">
        <f>(E8*100)/5</f>
        <v>0</v>
      </c>
      <c r="E8" s="21">
        <v>0</v>
      </c>
      <c r="F8" s="21">
        <f>(G8*100)/7</f>
        <v>14.285714285714286</v>
      </c>
      <c r="G8" s="21">
        <v>1</v>
      </c>
      <c r="H8" s="21">
        <f>(I8*100)/6</f>
        <v>16.666666666666668</v>
      </c>
      <c r="I8" s="21">
        <v>1</v>
      </c>
    </row>
    <row r="9" spans="1:9" ht="15.75" x14ac:dyDescent="0.25">
      <c r="A9" s="20" t="s">
        <v>97</v>
      </c>
      <c r="B9" s="21">
        <f>(C9*100)/2</f>
        <v>100</v>
      </c>
      <c r="C9" s="29">
        <v>2</v>
      </c>
      <c r="D9" s="21">
        <f>(E9*100)/5</f>
        <v>20</v>
      </c>
      <c r="E9" s="29">
        <v>1</v>
      </c>
      <c r="F9" s="21">
        <f>(G9*100)/7</f>
        <v>57.142857142857146</v>
      </c>
      <c r="G9" s="21">
        <v>4</v>
      </c>
      <c r="H9" s="21">
        <f>(I9*100)/6</f>
        <v>66.666666666666671</v>
      </c>
      <c r="I9" s="29">
        <v>4</v>
      </c>
    </row>
    <row r="10" spans="1:9" ht="31.5" x14ac:dyDescent="0.25">
      <c r="A10" s="20" t="s">
        <v>99</v>
      </c>
      <c r="B10" s="21">
        <f>(C10*100)/2</f>
        <v>0</v>
      </c>
      <c r="C10" s="25">
        <v>0</v>
      </c>
      <c r="D10" s="21">
        <f>(E10*100)/5</f>
        <v>20</v>
      </c>
      <c r="E10" s="29">
        <v>1</v>
      </c>
      <c r="F10" s="21">
        <f>(G10*100)/7</f>
        <v>0</v>
      </c>
      <c r="G10" s="21">
        <v>0</v>
      </c>
      <c r="H10" s="21">
        <f>(I10*100)/6</f>
        <v>0</v>
      </c>
      <c r="I10" s="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35C-603C-4B64-AC17-06B57C71AD70}">
  <dimension ref="A1:I10"/>
  <sheetViews>
    <sheetView zoomScale="93" workbookViewId="0">
      <selection activeCell="F13" sqref="F13"/>
    </sheetView>
  </sheetViews>
  <sheetFormatPr baseColWidth="10" defaultRowHeight="15" x14ac:dyDescent="0.25"/>
  <cols>
    <col min="2" max="2" width="13" bestFit="1" customWidth="1"/>
    <col min="8" max="8" width="13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17">
        <v>3</v>
      </c>
      <c r="D2" s="17"/>
      <c r="E2" s="17">
        <v>11</v>
      </c>
      <c r="F2" s="17"/>
      <c r="G2" s="17">
        <v>12</v>
      </c>
      <c r="H2" s="17"/>
      <c r="I2" s="17">
        <v>12</v>
      </c>
    </row>
    <row r="3" spans="1:9" ht="32.25" thickBot="1" x14ac:dyDescent="0.3">
      <c r="A3" s="16" t="s">
        <v>93</v>
      </c>
      <c r="B3" s="23"/>
      <c r="C3" s="17">
        <v>4</v>
      </c>
      <c r="D3" s="17"/>
      <c r="E3" s="17">
        <v>3</v>
      </c>
      <c r="F3" s="17"/>
      <c r="G3" s="17">
        <v>11</v>
      </c>
      <c r="H3" s="17"/>
      <c r="I3" s="17">
        <v>12</v>
      </c>
    </row>
    <row r="4" spans="1:9" ht="32.25" thickBot="1" x14ac:dyDescent="0.3">
      <c r="A4" s="16" t="s">
        <v>94</v>
      </c>
      <c r="B4" s="23">
        <f>(C7*100)/C4</f>
        <v>33.333333333333336</v>
      </c>
      <c r="C4" s="17">
        <v>3</v>
      </c>
      <c r="D4" s="17"/>
      <c r="E4" s="17">
        <v>4</v>
      </c>
      <c r="F4" s="17"/>
      <c r="G4" s="17">
        <v>3</v>
      </c>
      <c r="H4" s="17"/>
      <c r="I4" s="17">
        <v>11</v>
      </c>
    </row>
    <row r="5" spans="1:9" ht="32.25" thickBot="1" x14ac:dyDescent="0.3">
      <c r="A5" s="18" t="s">
        <v>95</v>
      </c>
      <c r="B5" s="24"/>
      <c r="C5" s="19">
        <v>10</v>
      </c>
      <c r="D5" s="19"/>
      <c r="E5" s="19">
        <v>18</v>
      </c>
      <c r="F5" s="19"/>
      <c r="G5" s="19">
        <v>26</v>
      </c>
      <c r="H5" s="19"/>
      <c r="I5" s="19">
        <v>35</v>
      </c>
    </row>
    <row r="7" spans="1:9" ht="31.5" x14ac:dyDescent="0.25">
      <c r="A7" s="20" t="s">
        <v>96</v>
      </c>
      <c r="B7" s="20">
        <f>(C7*100)/3</f>
        <v>33.333333333333336</v>
      </c>
      <c r="C7" s="21">
        <v>1</v>
      </c>
      <c r="D7" s="21">
        <f>(E7*100)/E4</f>
        <v>50</v>
      </c>
      <c r="E7" s="21">
        <v>2</v>
      </c>
      <c r="F7" s="21">
        <f>(G7*100)/3</f>
        <v>0</v>
      </c>
      <c r="G7" s="21">
        <v>0</v>
      </c>
      <c r="H7" s="21">
        <f>(I7*100)/11</f>
        <v>27.272727272727273</v>
      </c>
      <c r="I7" s="21">
        <v>3</v>
      </c>
    </row>
    <row r="8" spans="1:9" ht="15.75" x14ac:dyDescent="0.25">
      <c r="A8" s="20" t="s">
        <v>98</v>
      </c>
      <c r="B8" s="20">
        <f>(C8*100)/3</f>
        <v>0</v>
      </c>
      <c r="C8" s="21">
        <v>0</v>
      </c>
      <c r="D8" s="21">
        <f>(E8*100)/4</f>
        <v>25</v>
      </c>
      <c r="E8" s="21">
        <v>1</v>
      </c>
      <c r="F8" s="21">
        <f>(G8*100)/3</f>
        <v>33.333333333333336</v>
      </c>
      <c r="G8" s="21">
        <v>1</v>
      </c>
      <c r="H8" s="21">
        <f>(I8*100)/11</f>
        <v>18.181818181818183</v>
      </c>
      <c r="I8" s="21">
        <v>2</v>
      </c>
    </row>
    <row r="9" spans="1:9" ht="15.75" x14ac:dyDescent="0.25">
      <c r="A9" s="20" t="s">
        <v>97</v>
      </c>
      <c r="B9" s="20">
        <f>(C9*100)/3</f>
        <v>66.666666666666671</v>
      </c>
      <c r="C9">
        <v>2</v>
      </c>
      <c r="D9" s="21">
        <f>(E9*100)/4</f>
        <v>25</v>
      </c>
      <c r="E9">
        <v>1</v>
      </c>
      <c r="F9" s="21">
        <f>(G9*100)/3</f>
        <v>66.666666666666671</v>
      </c>
      <c r="G9" s="21">
        <v>2</v>
      </c>
      <c r="H9" s="21">
        <f>(I9*100)/11</f>
        <v>45.454545454545453</v>
      </c>
      <c r="I9">
        <v>5</v>
      </c>
    </row>
    <row r="10" spans="1:9" ht="31.5" x14ac:dyDescent="0.25">
      <c r="A10" s="20" t="s">
        <v>99</v>
      </c>
      <c r="B10" s="20">
        <f>(C10*100)/3</f>
        <v>0</v>
      </c>
      <c r="C10">
        <v>0</v>
      </c>
      <c r="D10" s="21">
        <f>(E10*100)/E7</f>
        <v>0</v>
      </c>
      <c r="E10">
        <v>0</v>
      </c>
      <c r="F10" s="21">
        <f>(G10*100)/3</f>
        <v>0</v>
      </c>
      <c r="G10" s="21">
        <v>0</v>
      </c>
      <c r="H10" s="21">
        <f>(I10*100)/11</f>
        <v>9.0909090909090917</v>
      </c>
      <c r="I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263-1829-415E-9B49-7D6F8D595FC2}">
  <dimension ref="A1:L24"/>
  <sheetViews>
    <sheetView zoomScale="84" workbookViewId="0">
      <selection activeCell="L15" sqref="L15:L17"/>
    </sheetView>
  </sheetViews>
  <sheetFormatPr baseColWidth="10" defaultRowHeight="15" x14ac:dyDescent="0.25"/>
  <cols>
    <col min="8" max="8" width="13.85546875" customWidth="1"/>
  </cols>
  <sheetData>
    <row r="1" spans="1:12" x14ac:dyDescent="0.25">
      <c r="A1" t="e">
        <f>(#REF!*100)/A2</f>
        <v>#REF!</v>
      </c>
      <c r="B1" t="e">
        <f>(#REF!*100)/B2</f>
        <v>#REF!</v>
      </c>
      <c r="C1" t="e">
        <f>(#REF!*100)/C2</f>
        <v>#REF!</v>
      </c>
      <c r="D1" t="e">
        <f>(#REF!*100)/D2</f>
        <v>#REF!</v>
      </c>
      <c r="E1" t="e">
        <f>(#REF!*100)/E2</f>
        <v>#REF!</v>
      </c>
      <c r="F1" t="e">
        <f>(#REF!*100)/F2</f>
        <v>#REF!</v>
      </c>
      <c r="G1" t="e">
        <f>(#REF!*100)/G2</f>
        <v>#REF!</v>
      </c>
      <c r="H1" t="e">
        <f>(#REF!*100)/H2</f>
        <v>#REF!</v>
      </c>
      <c r="I1" t="e">
        <f>(#REF!*100)/I2</f>
        <v>#REF!</v>
      </c>
      <c r="J1" t="e">
        <f>(#REF!*100)/J2</f>
        <v>#REF!</v>
      </c>
      <c r="K1" t="e">
        <f>(#REF!*100)/K2</f>
        <v>#REF!</v>
      </c>
      <c r="L1" t="e">
        <f>(#REF!*100)/L2</f>
        <v>#REF!</v>
      </c>
    </row>
    <row r="3" spans="1:12" x14ac:dyDescent="0.25">
      <c r="L3">
        <v>200</v>
      </c>
    </row>
    <row r="4" spans="1:12" x14ac:dyDescent="0.25">
      <c r="C4" t="s">
        <v>109</v>
      </c>
      <c r="D4" t="s">
        <v>110</v>
      </c>
      <c r="E4" t="s">
        <v>111</v>
      </c>
      <c r="F4" t="s">
        <v>112</v>
      </c>
      <c r="H4" t="s">
        <v>113</v>
      </c>
      <c r="I4" t="s">
        <v>114</v>
      </c>
    </row>
    <row r="5" spans="1:12" x14ac:dyDescent="0.25">
      <c r="A5" s="33" t="s">
        <v>102</v>
      </c>
      <c r="B5" t="s">
        <v>100</v>
      </c>
      <c r="C5">
        <v>264</v>
      </c>
      <c r="D5">
        <v>85</v>
      </c>
      <c r="E5">
        <v>85</v>
      </c>
      <c r="F5">
        <v>166</v>
      </c>
      <c r="G5">
        <f>SUM(C5:F5)</f>
        <v>600</v>
      </c>
    </row>
    <row r="6" spans="1:12" x14ac:dyDescent="0.25">
      <c r="A6" s="33"/>
      <c r="B6" t="s">
        <v>101</v>
      </c>
      <c r="C6">
        <v>284</v>
      </c>
      <c r="D6">
        <v>90</v>
      </c>
      <c r="E6">
        <v>90</v>
      </c>
      <c r="F6">
        <v>136</v>
      </c>
      <c r="G6">
        <f>SUM(C6:F6)</f>
        <v>600</v>
      </c>
      <c r="L6">
        <v>60</v>
      </c>
    </row>
    <row r="7" spans="1:12" x14ac:dyDescent="0.25">
      <c r="A7" s="33"/>
      <c r="B7" t="s">
        <v>0</v>
      </c>
      <c r="C7" s="31">
        <f>SUM(C5:C6)</f>
        <v>548</v>
      </c>
      <c r="D7" s="31">
        <f>SUM(D5:D6)</f>
        <v>175</v>
      </c>
      <c r="E7" s="31">
        <f>SUM(E5:E6)</f>
        <v>175</v>
      </c>
      <c r="F7" s="31">
        <f>SUM(F5:F6)</f>
        <v>302</v>
      </c>
      <c r="G7" s="31">
        <f>SUM(G5:G6)</f>
        <v>1200</v>
      </c>
      <c r="L7">
        <v>40</v>
      </c>
    </row>
    <row r="8" spans="1:12" x14ac:dyDescent="0.25">
      <c r="A8" s="33" t="s">
        <v>103</v>
      </c>
      <c r="B8" t="s">
        <v>105</v>
      </c>
      <c r="C8">
        <v>298</v>
      </c>
      <c r="D8">
        <v>96</v>
      </c>
      <c r="E8">
        <v>96</v>
      </c>
      <c r="F8">
        <v>110</v>
      </c>
      <c r="G8">
        <f>SUM(C8:F8)</f>
        <v>600</v>
      </c>
      <c r="L8">
        <v>40</v>
      </c>
    </row>
    <row r="9" spans="1:12" x14ac:dyDescent="0.25">
      <c r="A9" s="33"/>
      <c r="B9" t="s">
        <v>106</v>
      </c>
      <c r="C9">
        <v>240</v>
      </c>
      <c r="D9">
        <v>85</v>
      </c>
      <c r="E9">
        <v>85</v>
      </c>
      <c r="F9">
        <v>190</v>
      </c>
      <c r="G9">
        <f>SUM(C9:F9)</f>
        <v>600</v>
      </c>
      <c r="I9">
        <v>120</v>
      </c>
    </row>
    <row r="10" spans="1:12" x14ac:dyDescent="0.25">
      <c r="A10" s="33"/>
      <c r="B10" t="s">
        <v>0</v>
      </c>
      <c r="C10" s="31">
        <f>SUM(C8:C9)</f>
        <v>538</v>
      </c>
      <c r="D10" s="31">
        <f>SUM(D8:D9)</f>
        <v>181</v>
      </c>
      <c r="E10" s="31">
        <f>SUM(E8:E9)</f>
        <v>181</v>
      </c>
      <c r="F10" s="31">
        <f>SUM(F8:F9)</f>
        <v>300</v>
      </c>
      <c r="G10" s="31">
        <f>SUM(G8:G9)</f>
        <v>1200</v>
      </c>
    </row>
    <row r="11" spans="1:12" x14ac:dyDescent="0.25">
      <c r="A11" s="33" t="s">
        <v>104</v>
      </c>
      <c r="B11" t="s">
        <v>107</v>
      </c>
      <c r="C11">
        <v>300</v>
      </c>
      <c r="D11">
        <v>105</v>
      </c>
      <c r="E11">
        <v>105</v>
      </c>
      <c r="F11">
        <v>90</v>
      </c>
      <c r="G11">
        <f>SUM(C11:F11)</f>
        <v>600</v>
      </c>
      <c r="H11">
        <v>120</v>
      </c>
    </row>
    <row r="12" spans="1:12" x14ac:dyDescent="0.25">
      <c r="A12" s="33"/>
      <c r="B12" t="s">
        <v>108</v>
      </c>
      <c r="C12">
        <v>200</v>
      </c>
      <c r="D12">
        <v>80</v>
      </c>
      <c r="E12">
        <v>80</v>
      </c>
      <c r="F12">
        <v>240</v>
      </c>
      <c r="G12">
        <f>SUM(C12:F12)</f>
        <v>600</v>
      </c>
      <c r="H12">
        <v>100</v>
      </c>
      <c r="I12">
        <v>240</v>
      </c>
    </row>
    <row r="13" spans="1:12" x14ac:dyDescent="0.25">
      <c r="A13" s="33"/>
      <c r="B13" t="s">
        <v>0</v>
      </c>
      <c r="C13" s="31">
        <f>SUM(C11:C12)</f>
        <v>500</v>
      </c>
      <c r="D13" s="31">
        <f>SUM(D11:D12)</f>
        <v>185</v>
      </c>
      <c r="E13" s="31">
        <f>SUM(E11:E12)</f>
        <v>185</v>
      </c>
      <c r="F13" s="31">
        <f>SUM(F11:F12)</f>
        <v>330</v>
      </c>
      <c r="G13" s="31">
        <f>SUM(G11:G12)</f>
        <v>1200</v>
      </c>
    </row>
    <row r="14" spans="1:12" ht="15.75" thickBot="1" x14ac:dyDescent="0.3"/>
    <row r="15" spans="1:12" ht="16.5" thickBot="1" x14ac:dyDescent="0.3">
      <c r="I15" s="26">
        <v>548</v>
      </c>
      <c r="J15" s="27">
        <v>538</v>
      </c>
      <c r="K15" s="27">
        <v>500</v>
      </c>
      <c r="L15">
        <f>SUM(I15:K15)</f>
        <v>1586</v>
      </c>
    </row>
    <row r="16" spans="1:12" ht="16.5" thickBot="1" x14ac:dyDescent="0.3">
      <c r="B16">
        <f>C8+C12</f>
        <v>498</v>
      </c>
      <c r="C16">
        <f>D7+D12</f>
        <v>255</v>
      </c>
      <c r="D16">
        <f>E10+E12</f>
        <v>261</v>
      </c>
      <c r="I16" s="28">
        <v>175</v>
      </c>
      <c r="J16" s="17">
        <v>181</v>
      </c>
      <c r="K16" s="17">
        <v>185</v>
      </c>
      <c r="L16">
        <f>SUM(I16:K16)</f>
        <v>541</v>
      </c>
    </row>
    <row r="17" spans="4:12" ht="16.5" thickBot="1" x14ac:dyDescent="0.3">
      <c r="I17" s="28">
        <v>175</v>
      </c>
      <c r="J17" s="17">
        <v>181</v>
      </c>
      <c r="K17" s="17">
        <v>185</v>
      </c>
      <c r="L17">
        <f>SUM(I17:K17)</f>
        <v>541</v>
      </c>
    </row>
    <row r="18" spans="4:12" ht="15.75" thickBot="1" x14ac:dyDescent="0.3">
      <c r="D18">
        <v>60</v>
      </c>
      <c r="E18">
        <v>30</v>
      </c>
      <c r="F18">
        <v>30</v>
      </c>
    </row>
    <row r="19" spans="4:12" ht="16.5" thickBot="1" x14ac:dyDescent="0.3">
      <c r="D19">
        <v>30</v>
      </c>
      <c r="E19">
        <v>50</v>
      </c>
      <c r="F19">
        <v>30</v>
      </c>
      <c r="I19" s="26">
        <v>548</v>
      </c>
      <c r="J19" s="27">
        <v>460</v>
      </c>
      <c r="K19">
        <f>SUM(I19:J19)</f>
        <v>1008</v>
      </c>
    </row>
    <row r="20" spans="4:12" ht="16.5" thickBot="1" x14ac:dyDescent="0.3">
      <c r="D20">
        <v>60</v>
      </c>
      <c r="E20">
        <v>30</v>
      </c>
      <c r="F20">
        <v>20</v>
      </c>
      <c r="I20" s="28">
        <v>176</v>
      </c>
      <c r="J20" s="17">
        <v>128</v>
      </c>
      <c r="K20">
        <f>SUM(I20:J20)</f>
        <v>304</v>
      </c>
    </row>
    <row r="21" spans="4:12" ht="16.5" thickBot="1" x14ac:dyDescent="0.3">
      <c r="D21">
        <v>40</v>
      </c>
      <c r="E21">
        <v>20</v>
      </c>
      <c r="F21">
        <v>20</v>
      </c>
      <c r="I21" s="28">
        <v>176</v>
      </c>
      <c r="J21" s="17">
        <v>128</v>
      </c>
      <c r="K21">
        <f>SUM(I21:J21)</f>
        <v>304</v>
      </c>
    </row>
    <row r="22" spans="4:12" x14ac:dyDescent="0.25">
      <c r="D22">
        <v>40</v>
      </c>
      <c r="E22">
        <v>20</v>
      </c>
      <c r="F22">
        <v>120</v>
      </c>
      <c r="J22">
        <v>1</v>
      </c>
      <c r="K22">
        <f>(J22*100)/24</f>
        <v>4.166666666666667</v>
      </c>
    </row>
    <row r="23" spans="4:12" x14ac:dyDescent="0.25">
      <c r="D23">
        <f>SUM(D18:D22)</f>
        <v>230</v>
      </c>
      <c r="E23">
        <f>SUM(E18:E22)</f>
        <v>150</v>
      </c>
      <c r="F23">
        <f>SUM(F18:F22)</f>
        <v>220</v>
      </c>
      <c r="J23">
        <v>15</v>
      </c>
      <c r="K23">
        <f>(J23*100)/24</f>
        <v>62.5</v>
      </c>
    </row>
    <row r="24" spans="4:12" x14ac:dyDescent="0.25">
      <c r="J24">
        <v>8</v>
      </c>
      <c r="K24">
        <f>(J24*100)/24</f>
        <v>33.333333333333336</v>
      </c>
    </row>
  </sheetData>
  <mergeCells count="3">
    <mergeCell ref="A5:A7"/>
    <mergeCell ref="A8:A10"/>
    <mergeCell ref="A11:A13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F9E-6CEB-42F7-832F-B025CC110B65}">
  <dimension ref="A1:D13"/>
  <sheetViews>
    <sheetView workbookViewId="0"/>
  </sheetViews>
  <sheetFormatPr baseColWidth="10" defaultRowHeight="15" x14ac:dyDescent="0.25"/>
  <sheetData>
    <row r="1" spans="1:4" x14ac:dyDescent="0.25">
      <c r="A1">
        <f>EFFECTIFS!B18</f>
        <v>64</v>
      </c>
      <c r="B1">
        <f>EFFECTIFS!C18</f>
        <v>57</v>
      </c>
      <c r="C1">
        <f>EFFECTIFS!E18</f>
        <v>7</v>
      </c>
      <c r="D1">
        <f>EFFECTIFS!F18</f>
        <v>10.9375</v>
      </c>
    </row>
    <row r="2" spans="1:4" x14ac:dyDescent="0.25">
      <c r="A2">
        <f>EFFECTIFS!B19</f>
        <v>71</v>
      </c>
      <c r="B2">
        <f>EFFECTIFS!C19</f>
        <v>63</v>
      </c>
      <c r="C2">
        <f>EFFECTIFS!E19</f>
        <v>8</v>
      </c>
      <c r="D2">
        <f>EFFECTIFS!F19</f>
        <v>11.267605633802816</v>
      </c>
    </row>
    <row r="3" spans="1:4" x14ac:dyDescent="0.25">
      <c r="A3">
        <f>EFFECTIFS!B20</f>
        <v>83</v>
      </c>
      <c r="B3">
        <f>EFFECTIFS!C20</f>
        <v>79</v>
      </c>
      <c r="C3">
        <f>EFFECTIFS!E20</f>
        <v>4</v>
      </c>
      <c r="D3">
        <f>EFFECTIFS!F20</f>
        <v>4.8192771084337354</v>
      </c>
    </row>
    <row r="4" spans="1:4" x14ac:dyDescent="0.25">
      <c r="A4">
        <f>EFFECTIFS!B21</f>
        <v>100</v>
      </c>
      <c r="B4">
        <f>EFFECTIFS!C21</f>
        <v>89</v>
      </c>
      <c r="C4">
        <f>EFFECTIFS!E21</f>
        <v>11</v>
      </c>
      <c r="D4">
        <f>EFFECTIFS!F21</f>
        <v>11</v>
      </c>
    </row>
    <row r="5" spans="1:4" x14ac:dyDescent="0.25">
      <c r="A5">
        <f>EFFECTIFS!B22</f>
        <v>55</v>
      </c>
      <c r="B5">
        <f>EFFECTIFS!C22</f>
        <v>50</v>
      </c>
      <c r="C5">
        <f>EFFECTIFS!E22</f>
        <v>5</v>
      </c>
      <c r="D5">
        <f>EFFECTIFS!F22</f>
        <v>9.0909090909090917</v>
      </c>
    </row>
    <row r="6" spans="1:4" x14ac:dyDescent="0.25">
      <c r="A6">
        <f>EFFECTIFS!B23</f>
        <v>64</v>
      </c>
      <c r="B6">
        <f>EFFECTIFS!C23</f>
        <v>57</v>
      </c>
      <c r="C6">
        <f>EFFECTIFS!E23</f>
        <v>7</v>
      </c>
      <c r="D6">
        <f>EFFECTIFS!F23</f>
        <v>10.9375</v>
      </c>
    </row>
    <row r="7" spans="1:4" x14ac:dyDescent="0.25">
      <c r="A7">
        <f>EFFECTIFS!B24</f>
        <v>70</v>
      </c>
      <c r="B7">
        <f>EFFECTIFS!C24</f>
        <v>63</v>
      </c>
      <c r="C7">
        <f>EFFECTIFS!E24</f>
        <v>8</v>
      </c>
      <c r="D7">
        <f>EFFECTIFS!F24</f>
        <v>11.428571428571429</v>
      </c>
    </row>
    <row r="8" spans="1:4" x14ac:dyDescent="0.25">
      <c r="A8">
        <f>EFFECTIFS!B25</f>
        <v>83</v>
      </c>
      <c r="B8">
        <f>EFFECTIFS!C25</f>
        <v>79</v>
      </c>
      <c r="C8">
        <f>EFFECTIFS!E25</f>
        <v>4</v>
      </c>
      <c r="D8">
        <f>EFFECTIFS!F25</f>
        <v>4.8192771084337354</v>
      </c>
    </row>
    <row r="9" spans="1:4" x14ac:dyDescent="0.25">
      <c r="A9">
        <f>EFFECTIFS!B26</f>
        <v>20</v>
      </c>
      <c r="B9">
        <f>EFFECTIFS!C26</f>
        <v>19</v>
      </c>
      <c r="C9">
        <f>EFFECTIFS!E26</f>
        <v>1</v>
      </c>
      <c r="D9">
        <f>EFFECTIFS!F26</f>
        <v>5</v>
      </c>
    </row>
    <row r="10" spans="1:4" x14ac:dyDescent="0.25">
      <c r="A10">
        <f>EFFECTIFS!B27</f>
        <v>41</v>
      </c>
      <c r="B10">
        <f>EFFECTIFS!C27</f>
        <v>36</v>
      </c>
      <c r="C10">
        <f>EFFECTIFS!E27</f>
        <v>5</v>
      </c>
      <c r="D10">
        <f>EFFECTIFS!F27</f>
        <v>12.195121951219512</v>
      </c>
    </row>
    <row r="11" spans="1:4" x14ac:dyDescent="0.25">
      <c r="A11">
        <f>EFFECTIFS!B28</f>
        <v>46</v>
      </c>
      <c r="B11">
        <f>EFFECTIFS!C28</f>
        <v>39</v>
      </c>
      <c r="C11">
        <f>EFFECTIFS!E28</f>
        <v>7</v>
      </c>
      <c r="D11">
        <f>EFFECTIFS!F28</f>
        <v>15.217391304347826</v>
      </c>
    </row>
    <row r="12" spans="1:4" x14ac:dyDescent="0.25">
      <c r="A12">
        <f>EFFECTIFS!B29</f>
        <v>50</v>
      </c>
      <c r="B12">
        <f>EFFECTIFS!C29</f>
        <v>43</v>
      </c>
      <c r="C12">
        <f>EFFECTIFS!E29</f>
        <v>8</v>
      </c>
      <c r="D12">
        <f>EFFECTIFS!F29</f>
        <v>16</v>
      </c>
    </row>
    <row r="13" spans="1:4" x14ac:dyDescent="0.25">
      <c r="A13">
        <f>EFFECTIFS!B30</f>
        <v>747</v>
      </c>
      <c r="B13">
        <f>EFFECTIFS!C30</f>
        <v>674</v>
      </c>
      <c r="C13">
        <f>EFFECTIFS!E30</f>
        <v>75</v>
      </c>
      <c r="D13">
        <f>EFFECTIFS!F30</f>
        <v>10.040160642570282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6713-6FDC-4ABC-9848-E67E3A445D3B}">
  <dimension ref="A1:A23"/>
  <sheetViews>
    <sheetView workbookViewId="0">
      <selection activeCell="A6" sqref="A6"/>
    </sheetView>
  </sheetViews>
  <sheetFormatPr baseColWidth="10" defaultRowHeight="15" x14ac:dyDescent="0.25"/>
  <cols>
    <col min="1" max="1" width="106.8554687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ht="26.25" customHeight="1" x14ac:dyDescent="0.25">
      <c r="A3" s="4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ht="15.75" x14ac:dyDescent="0.25">
      <c r="A8" s="5" t="s">
        <v>13</v>
      </c>
    </row>
    <row r="9" spans="1:1" ht="15.75" x14ac:dyDescent="0.25">
      <c r="A9" s="5" t="s">
        <v>14</v>
      </c>
    </row>
    <row r="10" spans="1:1" x14ac:dyDescent="0.25">
      <c r="A10" s="6" t="s">
        <v>15</v>
      </c>
    </row>
    <row r="11" spans="1:1" x14ac:dyDescent="0.25">
      <c r="A11" s="6" t="s">
        <v>16</v>
      </c>
    </row>
    <row r="12" spans="1:1" x14ac:dyDescent="0.25">
      <c r="A12" s="3" t="s">
        <v>17</v>
      </c>
    </row>
    <row r="13" spans="1:1" x14ac:dyDescent="0.25">
      <c r="A13" s="6" t="s">
        <v>18</v>
      </c>
    </row>
    <row r="14" spans="1:1" x14ac:dyDescent="0.25">
      <c r="A14" s="6" t="s">
        <v>19</v>
      </c>
    </row>
    <row r="15" spans="1:1" x14ac:dyDescent="0.25">
      <c r="A15" s="6" t="s">
        <v>20</v>
      </c>
    </row>
    <row r="16" spans="1:1" x14ac:dyDescent="0.25">
      <c r="A16" s="6" t="s">
        <v>21</v>
      </c>
    </row>
    <row r="17" spans="1:1" x14ac:dyDescent="0.25">
      <c r="A17" s="6" t="s">
        <v>22</v>
      </c>
    </row>
    <row r="18" spans="1:1" x14ac:dyDescent="0.25">
      <c r="A18" s="6" t="s">
        <v>23</v>
      </c>
    </row>
    <row r="19" spans="1:1" x14ac:dyDescent="0.25">
      <c r="A19" s="3" t="s">
        <v>24</v>
      </c>
    </row>
    <row r="20" spans="1:1" x14ac:dyDescent="0.25">
      <c r="A20" s="3" t="s">
        <v>25</v>
      </c>
    </row>
    <row r="21" spans="1:1" x14ac:dyDescent="0.25">
      <c r="A21" s="3" t="s">
        <v>26</v>
      </c>
    </row>
    <row r="22" spans="1:1" x14ac:dyDescent="0.25">
      <c r="A22" s="6" t="s">
        <v>27</v>
      </c>
    </row>
    <row r="23" spans="1:1" x14ac:dyDescent="0.25">
      <c r="A23" s="3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6A1-FB6B-439D-9AF0-79ED79F2F974}">
  <dimension ref="A1:B6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s="1">
        <v>65</v>
      </c>
      <c r="B1" t="s">
        <v>1</v>
      </c>
    </row>
    <row r="2" spans="1:2" x14ac:dyDescent="0.25">
      <c r="A2" s="2">
        <v>110</v>
      </c>
      <c r="B2" t="s">
        <v>2</v>
      </c>
    </row>
    <row r="3" spans="1:2" x14ac:dyDescent="0.25">
      <c r="A3" s="2">
        <v>96</v>
      </c>
      <c r="B3" t="s">
        <v>3</v>
      </c>
    </row>
    <row r="4" spans="1:2" x14ac:dyDescent="0.25">
      <c r="A4" s="1">
        <v>92</v>
      </c>
      <c r="B4" t="s">
        <v>4</v>
      </c>
    </row>
    <row r="5" spans="1:2" x14ac:dyDescent="0.25">
      <c r="A5" s="1">
        <v>90</v>
      </c>
      <c r="B5" t="s">
        <v>5</v>
      </c>
    </row>
    <row r="6" spans="1:2" x14ac:dyDescent="0.25">
      <c r="A6">
        <f>SUM(A1:A5)</f>
        <v>453</v>
      </c>
      <c r="B6" t="s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ED4-754B-4425-BDD7-35573250D66F}">
  <dimension ref="A1:C18"/>
  <sheetViews>
    <sheetView workbookViewId="0">
      <selection sqref="A1:C18"/>
    </sheetView>
  </sheetViews>
  <sheetFormatPr baseColWidth="10" defaultRowHeight="15" x14ac:dyDescent="0.25"/>
  <cols>
    <col min="2" max="2" width="24.85546875" customWidth="1"/>
    <col min="3" max="3" width="36" customWidth="1"/>
  </cols>
  <sheetData>
    <row r="1" spans="1:3" ht="15.75" x14ac:dyDescent="0.25">
      <c r="A1" s="7" t="s">
        <v>29</v>
      </c>
      <c r="B1" s="7" t="s">
        <v>30</v>
      </c>
      <c r="C1" s="7" t="s">
        <v>31</v>
      </c>
    </row>
    <row r="2" spans="1:3" ht="15.75" x14ac:dyDescent="0.25">
      <c r="A2" s="7" t="s">
        <v>29</v>
      </c>
      <c r="B2" s="7" t="s">
        <v>32</v>
      </c>
      <c r="C2" s="7" t="s">
        <v>33</v>
      </c>
    </row>
    <row r="3" spans="1:3" ht="15.75" x14ac:dyDescent="0.25">
      <c r="A3" s="7" t="s">
        <v>29</v>
      </c>
      <c r="B3" s="7" t="s">
        <v>34</v>
      </c>
      <c r="C3" s="7" t="s">
        <v>35</v>
      </c>
    </row>
    <row r="4" spans="1:3" ht="15.75" x14ac:dyDescent="0.25">
      <c r="A4" s="7" t="s">
        <v>36</v>
      </c>
      <c r="B4" s="7" t="s">
        <v>37</v>
      </c>
      <c r="C4" s="7" t="s">
        <v>38</v>
      </c>
    </row>
    <row r="5" spans="1:3" ht="15.75" x14ac:dyDescent="0.25">
      <c r="A5" s="7" t="s">
        <v>29</v>
      </c>
      <c r="B5" s="7" t="s">
        <v>39</v>
      </c>
      <c r="C5" s="7" t="s">
        <v>40</v>
      </c>
    </row>
    <row r="6" spans="1:3" ht="15.75" x14ac:dyDescent="0.25">
      <c r="A6" s="7" t="s">
        <v>36</v>
      </c>
      <c r="B6" s="7" t="s">
        <v>41</v>
      </c>
      <c r="C6" s="7" t="s">
        <v>42</v>
      </c>
    </row>
    <row r="7" spans="1:3" ht="15.75" x14ac:dyDescent="0.25">
      <c r="A7" s="7" t="s">
        <v>36</v>
      </c>
      <c r="B7" s="7" t="s">
        <v>43</v>
      </c>
      <c r="C7" s="7" t="s">
        <v>44</v>
      </c>
    </row>
    <row r="8" spans="1:3" ht="15.75" x14ac:dyDescent="0.25">
      <c r="A8" s="7" t="s">
        <v>29</v>
      </c>
      <c r="B8" s="7" t="s">
        <v>45</v>
      </c>
      <c r="C8" s="7" t="s">
        <v>46</v>
      </c>
    </row>
    <row r="9" spans="1:3" ht="15.75" x14ac:dyDescent="0.25">
      <c r="A9" s="7" t="s">
        <v>29</v>
      </c>
      <c r="B9" s="7" t="s">
        <v>50</v>
      </c>
      <c r="C9" s="7" t="s">
        <v>47</v>
      </c>
    </row>
    <row r="10" spans="1:3" ht="15.75" x14ac:dyDescent="0.25">
      <c r="A10" s="7" t="s">
        <v>29</v>
      </c>
      <c r="B10" s="7" t="s">
        <v>51</v>
      </c>
      <c r="C10" s="7" t="s">
        <v>47</v>
      </c>
    </row>
    <row r="11" spans="1:3" ht="15.75" x14ac:dyDescent="0.25">
      <c r="A11" s="7" t="s">
        <v>29</v>
      </c>
      <c r="B11" s="7" t="s">
        <v>52</v>
      </c>
      <c r="C11" s="7" t="s">
        <v>47</v>
      </c>
    </row>
    <row r="12" spans="1:3" ht="15.75" x14ac:dyDescent="0.25">
      <c r="A12" s="7" t="s">
        <v>29</v>
      </c>
      <c r="B12" s="7" t="s">
        <v>53</v>
      </c>
      <c r="C12" s="7" t="s">
        <v>47</v>
      </c>
    </row>
    <row r="13" spans="1:3" ht="15.75" x14ac:dyDescent="0.25">
      <c r="A13" s="8" t="s">
        <v>29</v>
      </c>
      <c r="B13" s="7" t="s">
        <v>54</v>
      </c>
      <c r="C13" s="7" t="s">
        <v>47</v>
      </c>
    </row>
    <row r="14" spans="1:3" ht="15.75" x14ac:dyDescent="0.25">
      <c r="A14" s="7" t="s">
        <v>29</v>
      </c>
      <c r="B14" s="7" t="s">
        <v>55</v>
      </c>
      <c r="C14" s="7" t="s">
        <v>47</v>
      </c>
    </row>
    <row r="15" spans="1:3" ht="15.75" x14ac:dyDescent="0.25">
      <c r="A15" s="7" t="s">
        <v>36</v>
      </c>
      <c r="B15" s="7" t="s">
        <v>56</v>
      </c>
      <c r="C15" s="7" t="s">
        <v>48</v>
      </c>
    </row>
    <row r="16" spans="1:3" ht="15.75" x14ac:dyDescent="0.25">
      <c r="A16" s="7" t="s">
        <v>29</v>
      </c>
      <c r="B16" s="7" t="s">
        <v>57</v>
      </c>
      <c r="C16" s="7" t="s">
        <v>48</v>
      </c>
    </row>
    <row r="17" spans="1:3" ht="15.75" x14ac:dyDescent="0.25">
      <c r="A17" s="7" t="s">
        <v>36</v>
      </c>
      <c r="B17" s="7" t="s">
        <v>58</v>
      </c>
      <c r="C17" s="7" t="s">
        <v>49</v>
      </c>
    </row>
    <row r="18" spans="1:3" ht="15.75" x14ac:dyDescent="0.25">
      <c r="A18" s="7" t="s">
        <v>29</v>
      </c>
      <c r="B18" s="7" t="s">
        <v>59</v>
      </c>
      <c r="C18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EFFECTIFS</vt:lpstr>
      <vt:lpstr>Filles</vt:lpstr>
      <vt:lpstr>Insert Prof IG  DUT</vt:lpstr>
      <vt:lpstr>Insert Prof FC DUT</vt:lpstr>
      <vt:lpstr>Insert Prof FC</vt:lpstr>
      <vt:lpstr>Insert Prof LMC</vt:lpstr>
      <vt:lpstr>Insert Prof GEA</vt:lpstr>
      <vt:lpstr>Insert Prof GRH</vt:lpstr>
      <vt:lpstr>Insert Pro IG</vt:lpstr>
      <vt:lpstr>CM TD TP</vt:lpstr>
      <vt:lpstr>Feuil6</vt:lpstr>
      <vt:lpstr>Feuil3</vt:lpstr>
      <vt:lpstr>Feuil2</vt:lpstr>
      <vt:lpstr>Feuil5</vt:lpstr>
      <vt:lpstr>Feuil3!_Hlk148974274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cp:lastPrinted>2024-10-26T11:08:40Z</cp:lastPrinted>
  <dcterms:created xsi:type="dcterms:W3CDTF">2015-06-05T18:19:34Z</dcterms:created>
  <dcterms:modified xsi:type="dcterms:W3CDTF">2024-11-18T14:52:04Z</dcterms:modified>
</cp:coreProperties>
</file>