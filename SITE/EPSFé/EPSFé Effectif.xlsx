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Mamadou SANOGO\Desktop\"/>
    </mc:Choice>
  </mc:AlternateContent>
  <xr:revisionPtr revIDLastSave="0" documentId="8_{16B4C769-0152-437A-9A7B-7D93539DA2D1}" xr6:coauthVersionLast="47" xr6:coauthVersionMax="47" xr10:uidLastSave="{00000000-0000-0000-0000-000000000000}"/>
  <bookViews>
    <workbookView xWindow="-120" yWindow="-120" windowWidth="20730" windowHeight="11160" xr2:uid="{C80EEB13-93EB-4A06-AC53-2C68562FBFA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E26" i="1"/>
  <c r="E25" i="1"/>
  <c r="E24" i="1"/>
  <c r="G19" i="1"/>
  <c r="G21" i="1" s="1"/>
  <c r="E19" i="1"/>
  <c r="E21" i="1" s="1"/>
  <c r="D19" i="1"/>
  <c r="C19" i="1"/>
  <c r="I12" i="1"/>
  <c r="I21" i="1" s="1"/>
  <c r="H12" i="1"/>
  <c r="H21" i="1" s="1"/>
  <c r="G12" i="1"/>
  <c r="E12" i="1"/>
  <c r="D12" i="1"/>
  <c r="D21" i="1" s="1"/>
  <c r="C12" i="1"/>
  <c r="C21" i="1" s="1"/>
  <c r="H3" i="1"/>
  <c r="J3" i="1" s="1"/>
  <c r="H2" i="1"/>
  <c r="J2" i="1" s="1"/>
</calcChain>
</file>

<file path=xl/sharedStrings.xml><?xml version="1.0" encoding="utf-8"?>
<sst xmlns="http://schemas.openxmlformats.org/spreadsheetml/2006/main" count="23" uniqueCount="20">
  <si>
    <t xml:space="preserve">Epidémiologie </t>
  </si>
  <si>
    <t xml:space="preserve">Nutrition </t>
  </si>
  <si>
    <t>Gynécologie Obstétrique</t>
  </si>
  <si>
    <t>Pédagogie en Science de  santé</t>
  </si>
  <si>
    <t>Management des services de santé</t>
  </si>
  <si>
    <t>Biologie médicale</t>
  </si>
  <si>
    <t>Total</t>
  </si>
  <si>
    <t>Garçons</t>
  </si>
  <si>
    <t>Filles</t>
  </si>
  <si>
    <t>Master I</t>
  </si>
  <si>
    <t>Master II</t>
  </si>
  <si>
    <t>CM</t>
  </si>
  <si>
    <t>TP</t>
  </si>
  <si>
    <t>TD</t>
  </si>
  <si>
    <t>S1</t>
  </si>
  <si>
    <t>S3</t>
  </si>
  <si>
    <t>S2</t>
  </si>
  <si>
    <t>S4</t>
  </si>
  <si>
    <t>Total M1</t>
  </si>
  <si>
    <t>Total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</si>
</sst>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BA20-037D-4518-BF10-13B966819C30}">
  <dimension ref="A1:J28"/>
  <sheetViews>
    <sheetView tabSelected="1" workbookViewId="0">
      <selection sqref="A1:XFD1048576"/>
    </sheetView>
  </sheetViews>
  <sheetFormatPr baseColWidth="10" defaultColWidth="9.140625" defaultRowHeight="15" x14ac:dyDescent="0.25"/>
  <cols>
    <col min="2" max="2" width="14.5703125" customWidth="1"/>
    <col min="4" max="4" width="29.28515625" customWidth="1"/>
    <col min="5" max="5" width="28.140625" customWidth="1"/>
    <col min="6" max="6" width="32.42578125" customWidth="1"/>
    <col min="7" max="7" width="16.28515625" customWidth="1"/>
    <col min="8" max="8" width="12.4257812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>
        <v>16</v>
      </c>
      <c r="C2">
        <v>18</v>
      </c>
      <c r="D2">
        <v>15</v>
      </c>
      <c r="E2">
        <v>12</v>
      </c>
      <c r="F2">
        <v>10</v>
      </c>
      <c r="G2">
        <v>21</v>
      </c>
      <c r="H2">
        <f>SUM(B2:G2)</f>
        <v>92</v>
      </c>
      <c r="I2">
        <v>73</v>
      </c>
      <c r="J2">
        <f>H2-I2</f>
        <v>19</v>
      </c>
    </row>
    <row r="3" spans="1:10" x14ac:dyDescent="0.25">
      <c r="A3" t="s">
        <v>10</v>
      </c>
      <c r="B3">
        <v>21</v>
      </c>
      <c r="C3">
        <v>16</v>
      </c>
      <c r="D3">
        <v>20</v>
      </c>
      <c r="E3">
        <v>11</v>
      </c>
      <c r="F3">
        <v>8</v>
      </c>
      <c r="G3">
        <v>14</v>
      </c>
      <c r="H3">
        <f>SUM(B3:G3)</f>
        <v>90</v>
      </c>
      <c r="I3">
        <v>54</v>
      </c>
      <c r="J3">
        <f>H3-I3</f>
        <v>36</v>
      </c>
    </row>
    <row r="7" spans="1:10" x14ac:dyDescent="0.25">
      <c r="C7" t="s">
        <v>11</v>
      </c>
      <c r="D7" t="s">
        <v>12</v>
      </c>
      <c r="E7" t="s">
        <v>13</v>
      </c>
      <c r="G7" t="s">
        <v>11</v>
      </c>
      <c r="H7" t="s">
        <v>12</v>
      </c>
      <c r="I7" t="s">
        <v>13</v>
      </c>
    </row>
    <row r="8" spans="1:10" x14ac:dyDescent="0.25">
      <c r="C8">
        <v>90</v>
      </c>
      <c r="D8">
        <v>60</v>
      </c>
      <c r="E8">
        <v>30</v>
      </c>
      <c r="G8">
        <v>180</v>
      </c>
      <c r="H8">
        <v>0</v>
      </c>
      <c r="I8">
        <v>120</v>
      </c>
    </row>
    <row r="9" spans="1:10" x14ac:dyDescent="0.25">
      <c r="C9">
        <v>60</v>
      </c>
      <c r="D9">
        <v>20</v>
      </c>
      <c r="E9">
        <v>40</v>
      </c>
      <c r="G9">
        <v>40</v>
      </c>
      <c r="H9">
        <v>0</v>
      </c>
      <c r="I9">
        <v>40</v>
      </c>
    </row>
    <row r="10" spans="1:10" x14ac:dyDescent="0.25">
      <c r="C10">
        <v>30</v>
      </c>
      <c r="D10">
        <v>40</v>
      </c>
      <c r="E10">
        <v>40</v>
      </c>
      <c r="G10">
        <v>60</v>
      </c>
      <c r="H10">
        <v>0</v>
      </c>
      <c r="I10">
        <v>30</v>
      </c>
    </row>
    <row r="11" spans="1:10" x14ac:dyDescent="0.25">
      <c r="C11">
        <v>50</v>
      </c>
      <c r="D11">
        <v>30</v>
      </c>
      <c r="E11">
        <v>10</v>
      </c>
      <c r="G11">
        <v>10</v>
      </c>
      <c r="H11">
        <v>20</v>
      </c>
      <c r="I11">
        <v>0</v>
      </c>
    </row>
    <row r="12" spans="1:10" x14ac:dyDescent="0.25">
      <c r="B12" t="s">
        <v>14</v>
      </c>
      <c r="C12">
        <f>SUM(C8:C11)</f>
        <v>230</v>
      </c>
      <c r="D12">
        <f t="shared" ref="D12:E12" si="0">SUM(D8:D11)</f>
        <v>150</v>
      </c>
      <c r="E12">
        <f t="shared" si="0"/>
        <v>120</v>
      </c>
      <c r="F12" t="s">
        <v>15</v>
      </c>
      <c r="G12">
        <f>SUM(G8:G11)</f>
        <v>290</v>
      </c>
      <c r="H12">
        <f t="shared" ref="H12:I12" si="1">SUM(H8:H11)</f>
        <v>20</v>
      </c>
      <c r="I12">
        <f t="shared" si="1"/>
        <v>190</v>
      </c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10" x14ac:dyDescent="0.25">
      <c r="C14">
        <v>130</v>
      </c>
      <c r="D14">
        <v>0</v>
      </c>
      <c r="E14">
        <v>110</v>
      </c>
      <c r="G14">
        <v>0</v>
      </c>
      <c r="H14">
        <v>0</v>
      </c>
      <c r="I14">
        <v>120</v>
      </c>
    </row>
    <row r="15" spans="1:10" x14ac:dyDescent="0.25">
      <c r="C15">
        <v>60</v>
      </c>
      <c r="D15">
        <v>0</v>
      </c>
      <c r="E15">
        <v>40</v>
      </c>
      <c r="G15">
        <v>0</v>
      </c>
      <c r="H15">
        <v>0</v>
      </c>
      <c r="I15">
        <v>80</v>
      </c>
    </row>
    <row r="16" spans="1:10" x14ac:dyDescent="0.25">
      <c r="C16">
        <v>30</v>
      </c>
      <c r="D16">
        <v>0</v>
      </c>
      <c r="E16">
        <v>30</v>
      </c>
      <c r="G16">
        <v>0</v>
      </c>
      <c r="H16">
        <v>0</v>
      </c>
      <c r="I16">
        <v>80</v>
      </c>
    </row>
    <row r="17" spans="2:9" x14ac:dyDescent="0.25">
      <c r="C17">
        <v>20</v>
      </c>
      <c r="D17">
        <v>20</v>
      </c>
      <c r="E17">
        <v>0</v>
      </c>
      <c r="G17">
        <v>0</v>
      </c>
      <c r="H17">
        <v>0</v>
      </c>
      <c r="I17">
        <v>0</v>
      </c>
    </row>
    <row r="18" spans="2:9" x14ac:dyDescent="0.25">
      <c r="C18">
        <v>50</v>
      </c>
      <c r="D18">
        <v>40</v>
      </c>
      <c r="E18">
        <v>0</v>
      </c>
      <c r="G18">
        <v>0</v>
      </c>
      <c r="H18">
        <v>0</v>
      </c>
      <c r="I18">
        <v>0</v>
      </c>
    </row>
    <row r="19" spans="2:9" x14ac:dyDescent="0.25">
      <c r="B19" t="s">
        <v>16</v>
      </c>
      <c r="C19">
        <f>SUM(C14:C18)</f>
        <v>290</v>
      </c>
      <c r="D19">
        <f t="shared" ref="D19:E19" si="2">SUM(D14:D18)</f>
        <v>60</v>
      </c>
      <c r="E19">
        <f t="shared" si="2"/>
        <v>180</v>
      </c>
      <c r="F19" t="s">
        <v>17</v>
      </c>
      <c r="G19">
        <f>SUM(G14:G18)</f>
        <v>0</v>
      </c>
      <c r="H19">
        <v>0</v>
      </c>
      <c r="I19">
        <v>0</v>
      </c>
    </row>
    <row r="21" spans="2:9" x14ac:dyDescent="0.25">
      <c r="B21" t="s">
        <v>18</v>
      </c>
      <c r="C21">
        <f>C12+C19</f>
        <v>520</v>
      </c>
      <c r="D21">
        <f t="shared" ref="D21:E21" si="3">D12+D19</f>
        <v>210</v>
      </c>
      <c r="E21">
        <f t="shared" si="3"/>
        <v>300</v>
      </c>
      <c r="F21" t="s">
        <v>19</v>
      </c>
      <c r="G21">
        <f>G12+G19</f>
        <v>290</v>
      </c>
      <c r="H21">
        <f t="shared" ref="H21:I21" si="4">H12+H19</f>
        <v>20</v>
      </c>
      <c r="I21">
        <f t="shared" si="4"/>
        <v>190</v>
      </c>
    </row>
    <row r="23" spans="2:9" ht="15.75" thickBot="1" x14ac:dyDescent="0.3"/>
    <row r="24" spans="2:9" ht="16.5" thickBot="1" x14ac:dyDescent="0.3">
      <c r="C24" s="2">
        <v>520</v>
      </c>
      <c r="D24" s="3">
        <v>290</v>
      </c>
      <c r="E24">
        <f>SUM(C24:D24)</f>
        <v>810</v>
      </c>
    </row>
    <row r="25" spans="2:9" ht="16.5" thickBot="1" x14ac:dyDescent="0.3">
      <c r="C25" s="4">
        <v>300</v>
      </c>
      <c r="D25" s="5">
        <v>190</v>
      </c>
      <c r="E25">
        <f t="shared" ref="E25:E26" si="5">SUM(C25:D25)</f>
        <v>490</v>
      </c>
    </row>
    <row r="26" spans="2:9" ht="16.5" thickBot="1" x14ac:dyDescent="0.3">
      <c r="C26" s="4">
        <v>210</v>
      </c>
      <c r="D26" s="5">
        <v>20</v>
      </c>
      <c r="E26">
        <f t="shared" si="5"/>
        <v>230</v>
      </c>
      <c r="H26">
        <v>157.5</v>
      </c>
    </row>
    <row r="28" spans="2:9" x14ac:dyDescent="0.25">
      <c r="H28">
        <f>H26/45</f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Mahamadou SANOGO</dc:creator>
  <cp:lastModifiedBy>Mahamadou SANOGO</cp:lastModifiedBy>
  <dcterms:created xsi:type="dcterms:W3CDTF">2025-04-04T13:01:16Z</dcterms:created>
  <dcterms:modified xsi:type="dcterms:W3CDTF">2025-04-04T13:02:05Z</dcterms:modified>
</cp:coreProperties>
</file>